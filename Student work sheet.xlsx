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F3222DC4-A32B-4C23-9021-5FC2690E0DD3}" xr6:coauthVersionLast="47" xr6:coauthVersionMax="47" xr10:uidLastSave="{00000000-0000-0000-0000-000000000000}"/>
  <bookViews>
    <workbookView xWindow="-110" yWindow="-110" windowWidth="19420" windowHeight="10560" xr2:uid="{09E00F4C-E457-491E-80C3-9B4A8BD6CBC0}"/>
  </bookViews>
  <sheets>
    <sheet name="Sheet1" sheetId="1" r:id="rId1"/>
    <sheet name="Student Performance Dashboard.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28" i="1"/>
  <c r="F29" i="1"/>
  <c r="F2" i="1"/>
  <c r="G2" i="1" s="1"/>
  <c r="H2" i="1" s="1"/>
  <c r="F3" i="1"/>
  <c r="G3" i="1" s="1"/>
  <c r="H3" i="1" s="1"/>
  <c r="F4" i="1"/>
  <c r="G4" i="1" s="1"/>
  <c r="H4" i="1" s="1"/>
  <c r="F5" i="1"/>
  <c r="G5" i="1" s="1"/>
  <c r="H5" i="1" s="1"/>
  <c r="F6" i="1"/>
  <c r="G6" i="1" s="1"/>
  <c r="H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F19" i="1"/>
  <c r="G19" i="1" s="1"/>
  <c r="H19" i="1" s="1"/>
  <c r="F20" i="1"/>
  <c r="G20" i="1" s="1"/>
  <c r="H20" i="1" s="1"/>
  <c r="F21" i="1"/>
  <c r="G21" i="1" s="1"/>
  <c r="H21" i="1" s="1"/>
  <c r="G18" i="1" l="1"/>
  <c r="H18" i="1" s="1"/>
  <c r="C28" i="1" l="1"/>
  <c r="C27" i="1"/>
</calcChain>
</file>

<file path=xl/sharedStrings.xml><?xml version="1.0" encoding="utf-8"?>
<sst xmlns="http://schemas.openxmlformats.org/spreadsheetml/2006/main" count="45" uniqueCount="45">
  <si>
    <t>Student_Name</t>
  </si>
  <si>
    <t>Mathematics_CA (30)</t>
  </si>
  <si>
    <t>English_CA (30)</t>
  </si>
  <si>
    <t>Physics_CA (30)</t>
  </si>
  <si>
    <t>Ada Obi</t>
  </si>
  <si>
    <t>Musa Bello</t>
  </si>
  <si>
    <t>Tola Ade</t>
  </si>
  <si>
    <t>Grace John</t>
  </si>
  <si>
    <t>David Ali</t>
  </si>
  <si>
    <t>Chioma Okeke</t>
  </si>
  <si>
    <t>Ibrahim Sadiq</t>
  </si>
  <si>
    <t>Blessing Udo</t>
  </si>
  <si>
    <t>Peter James</t>
  </si>
  <si>
    <t>Esther Paul</t>
  </si>
  <si>
    <t>John Daniel</t>
  </si>
  <si>
    <t>Fatima Lawal</t>
  </si>
  <si>
    <t>Samuel Victor</t>
  </si>
  <si>
    <t>Mary Musa</t>
  </si>
  <si>
    <t>Kelvin Obi</t>
  </si>
  <si>
    <t>Aisha Bello</t>
  </si>
  <si>
    <t>Joseph Mark</t>
  </si>
  <si>
    <t>Ruth John</t>
  </si>
  <si>
    <t>Emmanuel Dan</t>
  </si>
  <si>
    <t>Peace David</t>
  </si>
  <si>
    <t>Student_ID</t>
  </si>
  <si>
    <t>Total sum of CA</t>
  </si>
  <si>
    <t xml:space="preserve">Risk Level </t>
  </si>
  <si>
    <t>Safe</t>
  </si>
  <si>
    <t>Total number of students</t>
  </si>
  <si>
    <t>Number of at-risk students</t>
  </si>
  <si>
    <t>Average CA score</t>
  </si>
  <si>
    <t>Charts</t>
  </si>
  <si>
    <t>Student performance table</t>
  </si>
  <si>
    <t xml:space="preserve"> DASHBOARD SHEET </t>
  </si>
  <si>
    <t>Risk Level</t>
  </si>
  <si>
    <t xml:space="preserve">Number </t>
  </si>
  <si>
    <t xml:space="preserve">At Risk </t>
  </si>
  <si>
    <t xml:space="preserve">Subject </t>
  </si>
  <si>
    <t>Average</t>
  </si>
  <si>
    <t xml:space="preserve">Mathematics </t>
  </si>
  <si>
    <t>English</t>
  </si>
  <si>
    <t xml:space="preserve">Physics </t>
  </si>
  <si>
    <t xml:space="preserve">                                     STUDENT AT RISK (PIECHART)</t>
  </si>
  <si>
    <t xml:space="preserve">Average CA Performance </t>
  </si>
  <si>
    <t xml:space="preserve">Average Subject   Performance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</si>
</sst>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 Black" panose="020B0A04020102020204" pitchFamily="34" charset="0"/>
              </a:rPr>
              <a:t>Average Subject</a:t>
            </a:r>
            <a:r>
              <a:rPr lang="en-US" b="1" baseline="0">
                <a:latin typeface="Arial Black" panose="020B0A04020102020204" pitchFamily="34" charset="0"/>
              </a:rPr>
              <a:t> CA </a:t>
            </a:r>
            <a:r>
              <a:rPr lang="en-US" b="1">
                <a:latin typeface="Arial Black" panose="020B0A04020102020204" pitchFamily="34" charset="0"/>
              </a:rPr>
              <a:t>Performance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Sheet1!$F$26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8EA-4543-8A65-FA1CCCDB221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8EA-4543-8A65-FA1CCCDB22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Sheet1!$E$27:$E$29</c:f>
              <c:strCache>
                <c:ptCount val="3"/>
                <c:pt idx="0">
                  <c:v>Mathematics </c:v>
                </c:pt>
                <c:pt idx="1">
                  <c:v>English</c:v>
                </c:pt>
                <c:pt idx="2">
                  <c:v>Physics </c:v>
                </c:pt>
              </c:strCache>
            </c:strRef>
          </c:cat>
          <c:val>
            <c:numRef>
              <c:f>Sheet1!$F$27:$F$29</c:f>
              <c:numCache>
                <c:formatCode>General</c:formatCode>
                <c:ptCount val="3"/>
                <c:pt idx="0">
                  <c:v>19.2</c:v>
                </c:pt>
                <c:pt idx="1">
                  <c:v>19.600000000000001</c:v>
                </c:pt>
                <c:pt idx="2">
                  <c:v>19.600000000000001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C-40A7-A8A3-4B5062299F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69188680"/>
        <c:axId val="569190840"/>
        <c:axId val="0"/>
      </c:bar3DChart>
      <c:catAx>
        <c:axId val="569188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US" sz="1100" b="1">
                    <a:latin typeface="Arial Black" panose="020B0A04020102020204" pitchFamily="34" charset="0"/>
                  </a:rPr>
                  <a:t>Subject </a:t>
                </a:r>
              </a:p>
            </c:rich>
          </c:tx>
          <c:layout>
            <c:manualLayout>
              <c:xMode val="edge"/>
              <c:yMode val="edge"/>
              <c:x val="0.47581498312710913"/>
              <c:y val="0.80409258287000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fr-FR"/>
          </a:p>
        </c:txPr>
        <c:crossAx val="569190840"/>
        <c:crosses val="autoZero"/>
        <c:auto val="1"/>
        <c:lblAlgn val="ctr"/>
        <c:lblOffset val="100"/>
        <c:noMultiLvlLbl val="0"/>
      </c:catAx>
      <c:valAx>
        <c:axId val="56919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US" sz="1200" b="1">
                    <a:latin typeface="Arial Black" panose="020B0A04020102020204" pitchFamily="34" charset="0"/>
                  </a:rPr>
                  <a:t>Aveerage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9188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STUDENT PERFORMANCE BAR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10965991622648E-2"/>
          <c:y val="0.12302416770081413"/>
          <c:w val="0.89983444157153214"/>
          <c:h val="0.713597188056724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Mathematics_CA (30)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Sheet1!$B$2:$B$21</c:f>
              <c:strCache>
                <c:ptCount val="20"/>
                <c:pt idx="0">
                  <c:v>Ada Obi</c:v>
                </c:pt>
                <c:pt idx="1">
                  <c:v>Musa Bello</c:v>
                </c:pt>
                <c:pt idx="2">
                  <c:v>Tola Ade</c:v>
                </c:pt>
                <c:pt idx="3">
                  <c:v>Grace John</c:v>
                </c:pt>
                <c:pt idx="4">
                  <c:v>David Ali</c:v>
                </c:pt>
                <c:pt idx="5">
                  <c:v>Chioma Okeke</c:v>
                </c:pt>
                <c:pt idx="6">
                  <c:v>Ibrahim Sadiq</c:v>
                </c:pt>
                <c:pt idx="7">
                  <c:v>Blessing Udo</c:v>
                </c:pt>
                <c:pt idx="8">
                  <c:v>Peter James</c:v>
                </c:pt>
                <c:pt idx="9">
                  <c:v>Esther Paul</c:v>
                </c:pt>
                <c:pt idx="10">
                  <c:v>John Daniel</c:v>
                </c:pt>
                <c:pt idx="11">
                  <c:v>Fatima Lawal</c:v>
                </c:pt>
                <c:pt idx="12">
                  <c:v>Samuel Victor</c:v>
                </c:pt>
                <c:pt idx="13">
                  <c:v>Mary Musa</c:v>
                </c:pt>
                <c:pt idx="14">
                  <c:v>Kelvin Obi</c:v>
                </c:pt>
                <c:pt idx="15">
                  <c:v>Aisha Bello</c:v>
                </c:pt>
                <c:pt idx="16">
                  <c:v>Joseph Mark</c:v>
                </c:pt>
                <c:pt idx="17">
                  <c:v>Ruth John</c:v>
                </c:pt>
                <c:pt idx="18">
                  <c:v>Emmanuel Dan</c:v>
                </c:pt>
                <c:pt idx="19">
                  <c:v>Peace David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14</c:v>
                </c:pt>
                <c:pt idx="1">
                  <c:v>24</c:v>
                </c:pt>
                <c:pt idx="2">
                  <c:v>12</c:v>
                </c:pt>
                <c:pt idx="3">
                  <c:v>28</c:v>
                </c:pt>
                <c:pt idx="4">
                  <c:v>20</c:v>
                </c:pt>
                <c:pt idx="5">
                  <c:v>25</c:v>
                </c:pt>
                <c:pt idx="6">
                  <c:v>10</c:v>
                </c:pt>
                <c:pt idx="7">
                  <c:v>27</c:v>
                </c:pt>
                <c:pt idx="8">
                  <c:v>21</c:v>
                </c:pt>
                <c:pt idx="9">
                  <c:v>11</c:v>
                </c:pt>
                <c:pt idx="10">
                  <c:v>29</c:v>
                </c:pt>
                <c:pt idx="11">
                  <c:v>22</c:v>
                </c:pt>
                <c:pt idx="12">
                  <c:v>9</c:v>
                </c:pt>
                <c:pt idx="13">
                  <c:v>26</c:v>
                </c:pt>
                <c:pt idx="14">
                  <c:v>15</c:v>
                </c:pt>
                <c:pt idx="15">
                  <c:v>24</c:v>
                </c:pt>
                <c:pt idx="16">
                  <c:v>8</c:v>
                </c:pt>
                <c:pt idx="17">
                  <c:v>27</c:v>
                </c:pt>
                <c:pt idx="18">
                  <c:v>19</c:v>
                </c:pt>
                <c:pt idx="1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9-414C-BEB5-D402C41D1D3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English_CA (30)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Sheet1!$B$2:$B$21</c:f>
              <c:strCache>
                <c:ptCount val="20"/>
                <c:pt idx="0">
                  <c:v>Ada Obi</c:v>
                </c:pt>
                <c:pt idx="1">
                  <c:v>Musa Bello</c:v>
                </c:pt>
                <c:pt idx="2">
                  <c:v>Tola Ade</c:v>
                </c:pt>
                <c:pt idx="3">
                  <c:v>Grace John</c:v>
                </c:pt>
                <c:pt idx="4">
                  <c:v>David Ali</c:v>
                </c:pt>
                <c:pt idx="5">
                  <c:v>Chioma Okeke</c:v>
                </c:pt>
                <c:pt idx="6">
                  <c:v>Ibrahim Sadiq</c:v>
                </c:pt>
                <c:pt idx="7">
                  <c:v>Blessing Udo</c:v>
                </c:pt>
                <c:pt idx="8">
                  <c:v>Peter James</c:v>
                </c:pt>
                <c:pt idx="9">
                  <c:v>Esther Paul</c:v>
                </c:pt>
                <c:pt idx="10">
                  <c:v>John Daniel</c:v>
                </c:pt>
                <c:pt idx="11">
                  <c:v>Fatima Lawal</c:v>
                </c:pt>
                <c:pt idx="12">
                  <c:v>Samuel Victor</c:v>
                </c:pt>
                <c:pt idx="13">
                  <c:v>Mary Musa</c:v>
                </c:pt>
                <c:pt idx="14">
                  <c:v>Kelvin Obi</c:v>
                </c:pt>
                <c:pt idx="15">
                  <c:v>Aisha Bello</c:v>
                </c:pt>
                <c:pt idx="16">
                  <c:v>Joseph Mark</c:v>
                </c:pt>
                <c:pt idx="17">
                  <c:v>Ruth John</c:v>
                </c:pt>
                <c:pt idx="18">
                  <c:v>Emmanuel Dan</c:v>
                </c:pt>
                <c:pt idx="19">
                  <c:v>Peace David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18</c:v>
                </c:pt>
                <c:pt idx="1">
                  <c:v>22</c:v>
                </c:pt>
                <c:pt idx="2">
                  <c:v>15</c:v>
                </c:pt>
                <c:pt idx="3">
                  <c:v>26</c:v>
                </c:pt>
                <c:pt idx="4">
                  <c:v>19</c:v>
                </c:pt>
                <c:pt idx="5">
                  <c:v>23</c:v>
                </c:pt>
                <c:pt idx="6">
                  <c:v>13</c:v>
                </c:pt>
                <c:pt idx="7">
                  <c:v>25</c:v>
                </c:pt>
                <c:pt idx="8">
                  <c:v>20</c:v>
                </c:pt>
                <c:pt idx="9">
                  <c:v>14</c:v>
                </c:pt>
                <c:pt idx="10">
                  <c:v>27</c:v>
                </c:pt>
                <c:pt idx="11">
                  <c:v>21</c:v>
                </c:pt>
                <c:pt idx="12">
                  <c:v>12</c:v>
                </c:pt>
                <c:pt idx="13">
                  <c:v>24</c:v>
                </c:pt>
                <c:pt idx="14">
                  <c:v>16</c:v>
                </c:pt>
                <c:pt idx="15">
                  <c:v>25</c:v>
                </c:pt>
                <c:pt idx="16">
                  <c:v>11</c:v>
                </c:pt>
                <c:pt idx="17">
                  <c:v>26</c:v>
                </c:pt>
                <c:pt idx="18">
                  <c:v>20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9-414C-BEB5-D402C41D1D35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Physics_CA (30)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Sheet1!$B$2:$B$21</c:f>
              <c:strCache>
                <c:ptCount val="20"/>
                <c:pt idx="0">
                  <c:v>Ada Obi</c:v>
                </c:pt>
                <c:pt idx="1">
                  <c:v>Musa Bello</c:v>
                </c:pt>
                <c:pt idx="2">
                  <c:v>Tola Ade</c:v>
                </c:pt>
                <c:pt idx="3">
                  <c:v>Grace John</c:v>
                </c:pt>
                <c:pt idx="4">
                  <c:v>David Ali</c:v>
                </c:pt>
                <c:pt idx="5">
                  <c:v>Chioma Okeke</c:v>
                </c:pt>
                <c:pt idx="6">
                  <c:v>Ibrahim Sadiq</c:v>
                </c:pt>
                <c:pt idx="7">
                  <c:v>Blessing Udo</c:v>
                </c:pt>
                <c:pt idx="8">
                  <c:v>Peter James</c:v>
                </c:pt>
                <c:pt idx="9">
                  <c:v>Esther Paul</c:v>
                </c:pt>
                <c:pt idx="10">
                  <c:v>John Daniel</c:v>
                </c:pt>
                <c:pt idx="11">
                  <c:v>Fatima Lawal</c:v>
                </c:pt>
                <c:pt idx="12">
                  <c:v>Samuel Victor</c:v>
                </c:pt>
                <c:pt idx="13">
                  <c:v>Mary Musa</c:v>
                </c:pt>
                <c:pt idx="14">
                  <c:v>Kelvin Obi</c:v>
                </c:pt>
                <c:pt idx="15">
                  <c:v>Aisha Bello</c:v>
                </c:pt>
                <c:pt idx="16">
                  <c:v>Joseph Mark</c:v>
                </c:pt>
                <c:pt idx="17">
                  <c:v>Ruth John</c:v>
                </c:pt>
                <c:pt idx="18">
                  <c:v>Emmanuel Dan</c:v>
                </c:pt>
                <c:pt idx="19">
                  <c:v>Peace David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16</c:v>
                </c:pt>
                <c:pt idx="1">
                  <c:v>23</c:v>
                </c:pt>
                <c:pt idx="2">
                  <c:v>14</c:v>
                </c:pt>
                <c:pt idx="3">
                  <c:v>27</c:v>
                </c:pt>
                <c:pt idx="4">
                  <c:v>18</c:v>
                </c:pt>
                <c:pt idx="5">
                  <c:v>24</c:v>
                </c:pt>
                <c:pt idx="6">
                  <c:v>12</c:v>
                </c:pt>
                <c:pt idx="7">
                  <c:v>26</c:v>
                </c:pt>
                <c:pt idx="8">
                  <c:v>22</c:v>
                </c:pt>
                <c:pt idx="9">
                  <c:v>13</c:v>
                </c:pt>
                <c:pt idx="10">
                  <c:v>28</c:v>
                </c:pt>
                <c:pt idx="11">
                  <c:v>23</c:v>
                </c:pt>
                <c:pt idx="12">
                  <c:v>11</c:v>
                </c:pt>
                <c:pt idx="13">
                  <c:v>25</c:v>
                </c:pt>
                <c:pt idx="14">
                  <c:v>17</c:v>
                </c:pt>
                <c:pt idx="15">
                  <c:v>23</c:v>
                </c:pt>
                <c:pt idx="16">
                  <c:v>10</c:v>
                </c:pt>
                <c:pt idx="17">
                  <c:v>25</c:v>
                </c:pt>
                <c:pt idx="18">
                  <c:v>21</c:v>
                </c:pt>
                <c:pt idx="1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9-414C-BEB5-D402C41D1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77174824"/>
        <c:axId val="107062048"/>
      </c:barChart>
      <c:catAx>
        <c:axId val="377174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062048"/>
        <c:crosses val="autoZero"/>
        <c:auto val="1"/>
        <c:lblAlgn val="ctr"/>
        <c:lblOffset val="100"/>
        <c:noMultiLvlLbl val="0"/>
      </c:catAx>
      <c:valAx>
        <c:axId val="1070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717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>
                <a:latin typeface="Arial Black" panose="020B0A04020102020204" pitchFamily="34" charset="0"/>
              </a:rPr>
              <a:t>Student</a:t>
            </a:r>
            <a:r>
              <a:rPr lang="fr-FR" sz="1800" b="1" baseline="0">
                <a:latin typeface="Arial Black" panose="020B0A04020102020204" pitchFamily="34" charset="0"/>
              </a:rPr>
              <a:t> At Risk  </a:t>
            </a:r>
            <a:endParaRPr lang="fr-FR" sz="1800" b="1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F8-4ACE-9F84-6D8F93801E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F8-4ACE-9F84-6D8F93801E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Sheet1!$B$27:$B$28</c:f>
              <c:strCache>
                <c:ptCount val="2"/>
                <c:pt idx="0">
                  <c:v>Safe</c:v>
                </c:pt>
                <c:pt idx="1">
                  <c:v>At Risk </c:v>
                </c:pt>
              </c:strCache>
            </c:strRef>
          </c:cat>
          <c:val>
            <c:numRef>
              <c:f>Sheet1!$C$27:$C$28</c:f>
              <c:numCache>
                <c:formatCode>General</c:formatCode>
                <c:ptCount val="2"/>
                <c:pt idx="0">
                  <c:v>17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B-4BBD-9F44-C5C58C3E15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1220107</xdr:colOff>
      <xdr:row>29</xdr:row>
      <xdr:rowOff>166008</xdr:rowOff>
    </xdr:from>
    <xdr:to>
      <xdr:col>7</xdr:col>
      <xdr:colOff>598714</xdr:colOff>
      <xdr:row>46</xdr:row>
      <xdr:rowOff>117929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28D2AE-9BC2-30BB-23D2-DE39F12B5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616584</xdr:colOff>
      <xdr:row>23</xdr:row>
      <xdr:rowOff>139175</xdr:rowOff>
    </xdr:from>
    <xdr:to>
      <xdr:col>13</xdr:col>
      <xdr:colOff>84666</xdr:colOff>
      <xdr:row>43</xdr:row>
      <xdr:rowOff>52917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ABF55-2B3B-D35A-761F-1238E5BCB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960438</xdr:colOff>
      <xdr:row>30</xdr:row>
      <xdr:rowOff>144463</xdr:rowOff>
    </xdr:from>
    <xdr:to>
      <xdr:col>3</xdr:col>
      <xdr:colOff>1023938</xdr:colOff>
      <xdr:row>45</xdr:row>
      <xdr:rowOff>30163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72967D-E35B-8E97-8672-EB721089F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AFAD2E-C15F-4374-86C3-92FB97BFD47C}" name="Table3" displayName="Table3" ref="A1:H21" totalsRowShown="0" headerRowDxfId="20" dataDxfId="19">
  <autoFilter ref="A1:H21" xr:uid="{8DAFAD2E-C15F-4374-86C3-92FB97BFD47C}"/>
  <tableColumns count="8">
    <tableColumn id="1" xr3:uid="{A8BDED78-8EAE-4E71-86C1-DCB51D1F12D0}" name="Student_ID" dataDxfId="18"/>
    <tableColumn id="2" xr3:uid="{2011877E-1055-426B-890D-A81FFB52A283}" name="Student_Name" dataDxfId="17"/>
    <tableColumn id="3" xr3:uid="{6EB40DAE-174B-4A71-A100-877482B8CE0C}" name="Mathematics_CA (30)" dataDxfId="16"/>
    <tableColumn id="4" xr3:uid="{5EE6FE88-8C37-4E99-BD53-7081CC49CC24}" name="English_CA (30)" dataDxfId="15"/>
    <tableColumn id="5" xr3:uid="{227D9606-6158-4A9D-8F76-5AA700DE218F}" name="Physics_CA (30)" dataDxfId="14"/>
    <tableColumn id="6" xr3:uid="{FC295006-20C9-43ED-9495-12BE4491130F}" name="Total sum of CA" dataDxfId="13">
      <calculatedColumnFormula>SUM(C2:E2)</calculatedColumnFormula>
    </tableColumn>
    <tableColumn id="7" xr3:uid="{BBBD42B8-3E31-44E6-8C06-080E3BFA28C9}" name="Average CA Performance " dataDxfId="12">
      <calculatedColumnFormula>(F2/90)*100</calculatedColumnFormula>
    </tableColumn>
    <tableColumn id="8" xr3:uid="{3F2FA550-314F-405B-9AD3-D4AE7A34ABEA}" name="Risk Level " dataDxfId="11">
      <calculatedColumnFormula>IF(G2&lt;40,"At Risk","Safe")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33E2E3-B6A5-4408-A293-8A636FC1360A}" name="Table5" displayName="Table5" ref="B26:C29" totalsRowShown="0" headerRowDxfId="10" dataDxfId="9">
  <autoFilter ref="B26:C29" xr:uid="{8733E2E3-B6A5-4408-A293-8A636FC1360A}"/>
  <tableColumns count="2">
    <tableColumn id="1" xr3:uid="{82A0237B-3174-4864-9268-2BA04416843A}" name="Risk Level" dataDxfId="8"/>
    <tableColumn id="2" xr3:uid="{EB1587BD-73D5-4BF7-988C-F9EADC3D1804}" name="Number 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4ACC6A-3DA3-4E47-90F3-F26662E3AF5E}" name="Table4" displayName="Table4" ref="E26:F29" totalsRowShown="0" headerRowDxfId="6" dataDxfId="5">
  <autoFilter ref="E26:F29" xr:uid="{D54ACC6A-3DA3-4E47-90F3-F26662E3AF5E}"/>
  <tableColumns count="2">
    <tableColumn id="1" xr3:uid="{49D8860E-1C39-466D-A73D-096082EB4BE5}" name="Subject " dataDxfId="4"/>
    <tableColumn id="2" xr3:uid="{30870403-98DF-4CD5-AD01-9D25072F378C}" name="Averag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D388-9DA2-4ED7-A746-02639A575CFE}">
  <dimension ref="A1:K46"/>
  <sheetViews>
    <sheetView tabSelected="1" topLeftCell="A13" zoomScale="60" zoomScaleNormal="60" workbookViewId="0">
      <selection activeCell="K19" sqref="K19"/>
    </sheetView>
  </sheetViews>
  <sheetFormatPr defaultRowHeight="15.5" x14ac:dyDescent="0.35"/>
  <cols>
    <col min="1" max="1" width="21.36328125" style="5" customWidth="1"/>
    <col min="2" max="2" width="20.36328125" style="5" customWidth="1"/>
    <col min="3" max="3" width="22.81640625" style="5" customWidth="1"/>
    <col min="4" max="4" width="19.7265625" style="5" customWidth="1"/>
    <col min="5" max="5" width="30.26953125" style="5" customWidth="1"/>
    <col min="6" max="6" width="19" style="5" customWidth="1"/>
    <col min="7" max="7" width="32.36328125" style="5" customWidth="1"/>
    <col min="8" max="8" width="23.26953125" style="5" customWidth="1"/>
    <col min="9" max="9" width="20.1796875" style="5" customWidth="1"/>
    <col min="10" max="10" width="8.7265625" style="5"/>
    <col min="11" max="11" width="21.81640625" style="5" customWidth="1"/>
    <col min="12" max="16384" width="8.7265625" style="5"/>
  </cols>
  <sheetData>
    <row r="1" spans="1:8" x14ac:dyDescent="0.35">
      <c r="A1" s="3" t="s">
        <v>24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25</v>
      </c>
      <c r="G1" s="4" t="s">
        <v>43</v>
      </c>
      <c r="H1" s="4" t="s">
        <v>26</v>
      </c>
    </row>
    <row r="2" spans="1:8" x14ac:dyDescent="0.35">
      <c r="A2" s="6">
        <v>1</v>
      </c>
      <c r="B2" s="5" t="s">
        <v>4</v>
      </c>
      <c r="C2" s="7">
        <v>14</v>
      </c>
      <c r="D2" s="7">
        <v>18</v>
      </c>
      <c r="E2" s="7">
        <v>16</v>
      </c>
      <c r="F2" s="7">
        <f t="shared" ref="F2:F21" si="0">SUM(C2:E2)</f>
        <v>48</v>
      </c>
      <c r="G2" s="8">
        <f>(F2/90)*100</f>
        <v>53.333333333333336</v>
      </c>
      <c r="H2" s="7" t="str">
        <f t="shared" ref="H2:H21" si="1">IF(G2&lt;40,"At Risk","Safe")</f>
        <v>Safe</v>
      </c>
    </row>
    <row r="3" spans="1:8" x14ac:dyDescent="0.35">
      <c r="A3" s="6">
        <v>2</v>
      </c>
      <c r="B3" s="5" t="s">
        <v>5</v>
      </c>
      <c r="C3" s="7">
        <v>24</v>
      </c>
      <c r="D3" s="7">
        <v>22</v>
      </c>
      <c r="E3" s="7">
        <v>23</v>
      </c>
      <c r="F3" s="7">
        <f t="shared" si="0"/>
        <v>69</v>
      </c>
      <c r="G3" s="8">
        <f t="shared" ref="G3:G21" si="2">(F3/90)*100</f>
        <v>76.666666666666671</v>
      </c>
      <c r="H3" s="7" t="str">
        <f t="shared" si="1"/>
        <v>Safe</v>
      </c>
    </row>
    <row r="4" spans="1:8" x14ac:dyDescent="0.35">
      <c r="A4" s="6">
        <v>3</v>
      </c>
      <c r="B4" s="5" t="s">
        <v>6</v>
      </c>
      <c r="C4" s="7">
        <v>12</v>
      </c>
      <c r="D4" s="7">
        <v>15</v>
      </c>
      <c r="E4" s="7">
        <v>14</v>
      </c>
      <c r="F4" s="7">
        <f t="shared" si="0"/>
        <v>41</v>
      </c>
      <c r="G4" s="8">
        <f t="shared" si="2"/>
        <v>45.555555555555557</v>
      </c>
      <c r="H4" s="7" t="str">
        <f t="shared" si="1"/>
        <v>Safe</v>
      </c>
    </row>
    <row r="5" spans="1:8" x14ac:dyDescent="0.35">
      <c r="A5" s="6">
        <v>4</v>
      </c>
      <c r="B5" s="5" t="s">
        <v>7</v>
      </c>
      <c r="C5" s="7">
        <v>28</v>
      </c>
      <c r="D5" s="7">
        <v>26</v>
      </c>
      <c r="E5" s="7">
        <v>27</v>
      </c>
      <c r="F5" s="7">
        <f t="shared" si="0"/>
        <v>81</v>
      </c>
      <c r="G5" s="8">
        <f t="shared" si="2"/>
        <v>90</v>
      </c>
      <c r="H5" s="7" t="str">
        <f t="shared" si="1"/>
        <v>Safe</v>
      </c>
    </row>
    <row r="6" spans="1:8" x14ac:dyDescent="0.35">
      <c r="A6" s="6">
        <v>5</v>
      </c>
      <c r="B6" s="5" t="s">
        <v>8</v>
      </c>
      <c r="C6" s="7">
        <v>20</v>
      </c>
      <c r="D6" s="7">
        <v>19</v>
      </c>
      <c r="E6" s="7">
        <v>18</v>
      </c>
      <c r="F6" s="7">
        <f t="shared" si="0"/>
        <v>57</v>
      </c>
      <c r="G6" s="8">
        <f t="shared" si="2"/>
        <v>63.333333333333329</v>
      </c>
      <c r="H6" s="7" t="str">
        <f t="shared" si="1"/>
        <v>Safe</v>
      </c>
    </row>
    <row r="7" spans="1:8" x14ac:dyDescent="0.35">
      <c r="A7" s="6">
        <v>6</v>
      </c>
      <c r="B7" s="5" t="s">
        <v>9</v>
      </c>
      <c r="C7" s="7">
        <v>25</v>
      </c>
      <c r="D7" s="7">
        <v>23</v>
      </c>
      <c r="E7" s="7">
        <v>24</v>
      </c>
      <c r="F7" s="7">
        <f t="shared" si="0"/>
        <v>72</v>
      </c>
      <c r="G7" s="8">
        <f t="shared" si="2"/>
        <v>80</v>
      </c>
      <c r="H7" s="7" t="str">
        <f t="shared" si="1"/>
        <v>Safe</v>
      </c>
    </row>
    <row r="8" spans="1:8" x14ac:dyDescent="0.35">
      <c r="A8" s="6">
        <v>7</v>
      </c>
      <c r="B8" s="5" t="s">
        <v>10</v>
      </c>
      <c r="C8" s="7">
        <v>10</v>
      </c>
      <c r="D8" s="7">
        <v>13</v>
      </c>
      <c r="E8" s="7">
        <v>12</v>
      </c>
      <c r="F8" s="7">
        <f t="shared" si="0"/>
        <v>35</v>
      </c>
      <c r="G8" s="8">
        <f t="shared" si="2"/>
        <v>38.888888888888893</v>
      </c>
      <c r="H8" s="7" t="str">
        <f t="shared" si="1"/>
        <v>At Risk</v>
      </c>
    </row>
    <row r="9" spans="1:8" x14ac:dyDescent="0.35">
      <c r="A9" s="6">
        <v>8</v>
      </c>
      <c r="B9" s="5" t="s">
        <v>11</v>
      </c>
      <c r="C9" s="7">
        <v>27</v>
      </c>
      <c r="D9" s="7">
        <v>25</v>
      </c>
      <c r="E9" s="7">
        <v>26</v>
      </c>
      <c r="F9" s="7">
        <f t="shared" si="0"/>
        <v>78</v>
      </c>
      <c r="G9" s="8">
        <f t="shared" si="2"/>
        <v>86.666666666666671</v>
      </c>
      <c r="H9" s="7" t="str">
        <f t="shared" si="1"/>
        <v>Safe</v>
      </c>
    </row>
    <row r="10" spans="1:8" x14ac:dyDescent="0.35">
      <c r="A10" s="6">
        <v>9</v>
      </c>
      <c r="B10" s="5" t="s">
        <v>12</v>
      </c>
      <c r="C10" s="7">
        <v>21</v>
      </c>
      <c r="D10" s="7">
        <v>20</v>
      </c>
      <c r="E10" s="7">
        <v>22</v>
      </c>
      <c r="F10" s="7">
        <f t="shared" si="0"/>
        <v>63</v>
      </c>
      <c r="G10" s="8">
        <f t="shared" si="2"/>
        <v>70</v>
      </c>
      <c r="H10" s="7" t="str">
        <f t="shared" si="1"/>
        <v>Safe</v>
      </c>
    </row>
    <row r="11" spans="1:8" x14ac:dyDescent="0.35">
      <c r="A11" s="6">
        <v>10</v>
      </c>
      <c r="B11" s="5" t="s">
        <v>13</v>
      </c>
      <c r="C11" s="7">
        <v>11</v>
      </c>
      <c r="D11" s="7">
        <v>14</v>
      </c>
      <c r="E11" s="7">
        <v>13</v>
      </c>
      <c r="F11" s="7">
        <f t="shared" si="0"/>
        <v>38</v>
      </c>
      <c r="G11" s="8">
        <f t="shared" si="2"/>
        <v>42.222222222222221</v>
      </c>
      <c r="H11" s="7" t="str">
        <f t="shared" si="1"/>
        <v>Safe</v>
      </c>
    </row>
    <row r="12" spans="1:8" x14ac:dyDescent="0.35">
      <c r="A12" s="6">
        <v>11</v>
      </c>
      <c r="B12" s="5" t="s">
        <v>14</v>
      </c>
      <c r="C12" s="7">
        <v>29</v>
      </c>
      <c r="D12" s="7">
        <v>27</v>
      </c>
      <c r="E12" s="7">
        <v>28</v>
      </c>
      <c r="F12" s="7">
        <f t="shared" si="0"/>
        <v>84</v>
      </c>
      <c r="G12" s="8">
        <f t="shared" si="2"/>
        <v>93.333333333333329</v>
      </c>
      <c r="H12" s="7" t="str">
        <f t="shared" si="1"/>
        <v>Safe</v>
      </c>
    </row>
    <row r="13" spans="1:8" x14ac:dyDescent="0.35">
      <c r="A13" s="6">
        <v>12</v>
      </c>
      <c r="B13" s="5" t="s">
        <v>15</v>
      </c>
      <c r="C13" s="7">
        <v>22</v>
      </c>
      <c r="D13" s="7">
        <v>21</v>
      </c>
      <c r="E13" s="7">
        <v>23</v>
      </c>
      <c r="F13" s="7">
        <f t="shared" si="0"/>
        <v>66</v>
      </c>
      <c r="G13" s="8">
        <f t="shared" si="2"/>
        <v>73.333333333333329</v>
      </c>
      <c r="H13" s="7" t="str">
        <f t="shared" si="1"/>
        <v>Safe</v>
      </c>
    </row>
    <row r="14" spans="1:8" x14ac:dyDescent="0.35">
      <c r="A14" s="6">
        <v>13</v>
      </c>
      <c r="B14" s="5" t="s">
        <v>16</v>
      </c>
      <c r="C14" s="7">
        <v>9</v>
      </c>
      <c r="D14" s="7">
        <v>12</v>
      </c>
      <c r="E14" s="7">
        <v>11</v>
      </c>
      <c r="F14" s="7">
        <f t="shared" si="0"/>
        <v>32</v>
      </c>
      <c r="G14" s="8">
        <f t="shared" si="2"/>
        <v>35.555555555555557</v>
      </c>
      <c r="H14" s="7" t="str">
        <f t="shared" si="1"/>
        <v>At Risk</v>
      </c>
    </row>
    <row r="15" spans="1:8" x14ac:dyDescent="0.35">
      <c r="A15" s="6">
        <v>14</v>
      </c>
      <c r="B15" s="5" t="s">
        <v>17</v>
      </c>
      <c r="C15" s="7">
        <v>26</v>
      </c>
      <c r="D15" s="7">
        <v>24</v>
      </c>
      <c r="E15" s="7">
        <v>25</v>
      </c>
      <c r="F15" s="7">
        <f t="shared" si="0"/>
        <v>75</v>
      </c>
      <c r="G15" s="8">
        <f t="shared" si="2"/>
        <v>83.333333333333343</v>
      </c>
      <c r="H15" s="7" t="str">
        <f t="shared" si="1"/>
        <v>Safe</v>
      </c>
    </row>
    <row r="16" spans="1:8" x14ac:dyDescent="0.35">
      <c r="A16" s="6">
        <v>15</v>
      </c>
      <c r="B16" s="5" t="s">
        <v>18</v>
      </c>
      <c r="C16" s="7">
        <v>15</v>
      </c>
      <c r="D16" s="7">
        <v>16</v>
      </c>
      <c r="E16" s="7">
        <v>17</v>
      </c>
      <c r="F16" s="7">
        <f t="shared" si="0"/>
        <v>48</v>
      </c>
      <c r="G16" s="8">
        <f t="shared" si="2"/>
        <v>53.333333333333336</v>
      </c>
      <c r="H16" s="7" t="str">
        <f t="shared" si="1"/>
        <v>Safe</v>
      </c>
    </row>
    <row r="17" spans="1:11" x14ac:dyDescent="0.35">
      <c r="A17" s="6">
        <v>16</v>
      </c>
      <c r="B17" s="5" t="s">
        <v>19</v>
      </c>
      <c r="C17" s="7">
        <v>24</v>
      </c>
      <c r="D17" s="7">
        <v>25</v>
      </c>
      <c r="E17" s="7">
        <v>23</v>
      </c>
      <c r="F17" s="7">
        <f t="shared" si="0"/>
        <v>72</v>
      </c>
      <c r="G17" s="8">
        <f t="shared" si="2"/>
        <v>80</v>
      </c>
      <c r="H17" s="7" t="str">
        <f t="shared" si="1"/>
        <v>Safe</v>
      </c>
    </row>
    <row r="18" spans="1:11" x14ac:dyDescent="0.35">
      <c r="A18" s="6">
        <v>17</v>
      </c>
      <c r="B18" s="5" t="s">
        <v>20</v>
      </c>
      <c r="C18" s="7">
        <v>8</v>
      </c>
      <c r="D18" s="7">
        <v>11</v>
      </c>
      <c r="E18" s="7">
        <v>10</v>
      </c>
      <c r="F18" s="7">
        <f t="shared" si="0"/>
        <v>29</v>
      </c>
      <c r="G18" s="8">
        <f>(F18/90)*100</f>
        <v>32.222222222222221</v>
      </c>
      <c r="H18" s="7" t="str">
        <f t="shared" si="1"/>
        <v>At Risk</v>
      </c>
    </row>
    <row r="19" spans="1:11" x14ac:dyDescent="0.35">
      <c r="A19" s="6">
        <v>18</v>
      </c>
      <c r="B19" s="5" t="s">
        <v>21</v>
      </c>
      <c r="C19" s="7">
        <v>27</v>
      </c>
      <c r="D19" s="7">
        <v>26</v>
      </c>
      <c r="E19" s="7">
        <v>25</v>
      </c>
      <c r="F19" s="7">
        <f t="shared" si="0"/>
        <v>78</v>
      </c>
      <c r="G19" s="8">
        <f t="shared" si="2"/>
        <v>86.666666666666671</v>
      </c>
      <c r="H19" s="7" t="str">
        <f t="shared" si="1"/>
        <v>Safe</v>
      </c>
    </row>
    <row r="20" spans="1:11" x14ac:dyDescent="0.35">
      <c r="A20" s="6">
        <v>19</v>
      </c>
      <c r="B20" s="5" t="s">
        <v>22</v>
      </c>
      <c r="C20" s="7">
        <v>19</v>
      </c>
      <c r="D20" s="7">
        <v>20</v>
      </c>
      <c r="E20" s="7">
        <v>21</v>
      </c>
      <c r="F20" s="7">
        <f t="shared" si="0"/>
        <v>60</v>
      </c>
      <c r="G20" s="8">
        <f t="shared" si="2"/>
        <v>66.666666666666657</v>
      </c>
      <c r="H20" s="7" t="str">
        <f t="shared" si="1"/>
        <v>Safe</v>
      </c>
    </row>
    <row r="21" spans="1:11" x14ac:dyDescent="0.35">
      <c r="A21" s="6">
        <v>20</v>
      </c>
      <c r="B21" s="5" t="s">
        <v>23</v>
      </c>
      <c r="C21" s="7">
        <v>13</v>
      </c>
      <c r="D21" s="7">
        <v>15</v>
      </c>
      <c r="E21" s="7">
        <v>14</v>
      </c>
      <c r="F21" s="7">
        <f t="shared" si="0"/>
        <v>42</v>
      </c>
      <c r="G21" s="8">
        <f t="shared" si="2"/>
        <v>46.666666666666664</v>
      </c>
      <c r="H21" s="7" t="str">
        <f t="shared" si="1"/>
        <v>Safe</v>
      </c>
    </row>
    <row r="25" spans="1:11" x14ac:dyDescent="0.35">
      <c r="A25" s="9" t="s">
        <v>42</v>
      </c>
      <c r="B25" s="9"/>
      <c r="C25" s="9"/>
      <c r="E25" s="9" t="s">
        <v>44</v>
      </c>
      <c r="F25" s="9"/>
      <c r="H25" s="7"/>
    </row>
    <row r="26" spans="1:11" x14ac:dyDescent="0.35">
      <c r="A26" s="7"/>
      <c r="B26" s="7" t="s">
        <v>34</v>
      </c>
      <c r="C26" s="7" t="s">
        <v>35</v>
      </c>
      <c r="D26" s="7"/>
      <c r="E26" s="7" t="s">
        <v>37</v>
      </c>
      <c r="F26" s="7" t="s">
        <v>38</v>
      </c>
      <c r="G26" s="7"/>
      <c r="J26" s="4"/>
    </row>
    <row r="27" spans="1:11" x14ac:dyDescent="0.35">
      <c r="A27" s="7"/>
      <c r="B27" s="7" t="s">
        <v>27</v>
      </c>
      <c r="C27" s="7">
        <f>COUNTIF(H2:H21,"Safe")</f>
        <v>17</v>
      </c>
      <c r="D27" s="7"/>
      <c r="E27" s="7" t="s">
        <v>39</v>
      </c>
      <c r="F27" s="7">
        <f>AVERAGE(C2:C21)</f>
        <v>19.2</v>
      </c>
      <c r="G27" s="7"/>
      <c r="J27" s="8"/>
    </row>
    <row r="28" spans="1:11" x14ac:dyDescent="0.35">
      <c r="A28" s="7"/>
      <c r="B28" s="7" t="s">
        <v>36</v>
      </c>
      <c r="C28" s="7">
        <f>COUNTIF(H2:H21,"At Risk")</f>
        <v>3</v>
      </c>
      <c r="D28" s="7"/>
      <c r="E28" s="7" t="s">
        <v>40</v>
      </c>
      <c r="F28" s="7">
        <f>AVERAGE(D2:D21)</f>
        <v>19.600000000000001</v>
      </c>
      <c r="G28" s="7"/>
      <c r="J28" s="8"/>
    </row>
    <row r="29" spans="1:11" x14ac:dyDescent="0.35">
      <c r="A29" s="7"/>
      <c r="B29" s="7"/>
      <c r="C29" s="7"/>
      <c r="D29" s="7"/>
      <c r="E29" s="7" t="s">
        <v>41</v>
      </c>
      <c r="F29" s="7">
        <f>AVERAGE(E2:E21)</f>
        <v>19.600000000000001</v>
      </c>
      <c r="G29" s="7"/>
      <c r="J29" s="8"/>
    </row>
    <row r="30" spans="1:11" x14ac:dyDescent="0.35">
      <c r="H30" s="7"/>
      <c r="K30" s="8"/>
    </row>
    <row r="31" spans="1:11" x14ac:dyDescent="0.35">
      <c r="H31" s="7"/>
      <c r="K31" s="8"/>
    </row>
    <row r="32" spans="1:11" x14ac:dyDescent="0.35">
      <c r="K32" s="8"/>
    </row>
    <row r="33" spans="10:10" x14ac:dyDescent="0.35">
      <c r="J33" s="8"/>
    </row>
    <row r="34" spans="10:10" x14ac:dyDescent="0.35">
      <c r="J34" s="8"/>
    </row>
    <row r="35" spans="10:10" x14ac:dyDescent="0.35">
      <c r="J35" s="8"/>
    </row>
    <row r="36" spans="10:10" x14ac:dyDescent="0.35">
      <c r="J36" s="8"/>
    </row>
    <row r="37" spans="10:10" x14ac:dyDescent="0.35">
      <c r="J37" s="8"/>
    </row>
    <row r="38" spans="10:10" x14ac:dyDescent="0.35">
      <c r="J38" s="8"/>
    </row>
    <row r="39" spans="10:10" x14ac:dyDescent="0.35">
      <c r="J39" s="8"/>
    </row>
    <row r="40" spans="10:10" x14ac:dyDescent="0.35">
      <c r="J40" s="8"/>
    </row>
    <row r="41" spans="10:10" x14ac:dyDescent="0.35">
      <c r="J41" s="8"/>
    </row>
    <row r="42" spans="10:10" x14ac:dyDescent="0.35">
      <c r="J42" s="8"/>
    </row>
    <row r="43" spans="10:10" x14ac:dyDescent="0.35">
      <c r="J43" s="8"/>
    </row>
    <row r="44" spans="10:10" x14ac:dyDescent="0.35">
      <c r="J44" s="8"/>
    </row>
    <row r="45" spans="10:10" x14ac:dyDescent="0.35">
      <c r="J45" s="8"/>
    </row>
    <row r="46" spans="10:10" x14ac:dyDescent="0.35">
      <c r="J46" s="8"/>
    </row>
  </sheetData>
  <mergeCells count="2">
    <mergeCell ref="E25:F25"/>
    <mergeCell ref="A25:C25"/>
  </mergeCells>
  <phoneticPr fontId="5" type="noConversion"/>
  <conditionalFormatting sqref="H2:H21">
    <cfRule type="containsText" dxfId="2" priority="1" operator="containsText" text="At Risk">
      <formula>NOT(ISERROR(SEARCH("At Risk",H2)))</formula>
    </cfRule>
    <cfRule type="containsText" dxfId="1" priority="3" operator="containsText" text="AT Risk">
      <formula>NOT(ISERROR(SEARCH("AT Risk",H2)))</formula>
    </cfRule>
  </conditionalFormatting>
  <conditionalFormatting sqref="I10">
    <cfRule type="containsText" dxfId="0" priority="2" operator="containsText" text="Safe">
      <formula>NOT(ISERROR(SEARCH("Safe",I10)))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69E5-A66A-4205-9611-50C40110EC1F}">
  <dimension ref="A1:G4"/>
  <sheetViews>
    <sheetView workbookViewId="0">
      <selection activeCell="H11" sqref="H11"/>
    </sheetView>
  </sheetViews>
  <sheetFormatPr defaultRowHeight="14.5" x14ac:dyDescent="0.35"/>
  <cols>
    <col min="1" max="1" width="22.1796875" customWidth="1"/>
    <col min="2" max="2" width="24.7265625" customWidth="1"/>
    <col min="3" max="3" width="16.90625" customWidth="1"/>
    <col min="5" max="5" width="23.81640625" customWidth="1"/>
  </cols>
  <sheetData>
    <row r="1" spans="1:7" ht="20" x14ac:dyDescent="0.4">
      <c r="A1" s="10" t="s">
        <v>33</v>
      </c>
      <c r="B1" s="11"/>
      <c r="C1" s="11"/>
      <c r="D1" s="11"/>
      <c r="E1" s="11"/>
      <c r="F1" s="11"/>
      <c r="G1" s="11"/>
    </row>
    <row r="2" spans="1:7" x14ac:dyDescent="0.3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/>
      <c r="G2" s="2"/>
    </row>
    <row r="3" spans="1:7" x14ac:dyDescent="0.35">
      <c r="A3" s="1"/>
      <c r="B3" s="1"/>
      <c r="C3" s="1"/>
      <c r="D3" s="1"/>
      <c r="E3" s="1"/>
      <c r="F3" s="1"/>
      <c r="G3" s="1"/>
    </row>
    <row r="4" spans="1:7" x14ac:dyDescent="0.35">
      <c r="A4" s="1"/>
      <c r="B4" s="1"/>
      <c r="C4" s="1"/>
      <c r="D4" s="1"/>
      <c r="E4" s="1"/>
      <c r="F4" s="1"/>
      <c r="G4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 Performance Dashboard.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Eneonyia</dc:creator>
  <cp:lastModifiedBy>chukwuemeka Eneonyia</cp:lastModifiedBy>
  <dcterms:created xsi:type="dcterms:W3CDTF">2026-03-09T15:46:47Z</dcterms:created>
  <dcterms:modified xsi:type="dcterms:W3CDTF">2026-03-14T12:56:23Z</dcterms:modified>
</cp:coreProperties>
</file>