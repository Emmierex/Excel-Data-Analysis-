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129821A-F397-4134-B4F1-0EC887798673}" xr6:coauthVersionLast="47" xr6:coauthVersionMax="47" xr10:uidLastSave="{00000000-0000-0000-0000-000000000000}"/>
  <bookViews>
    <workbookView xWindow="-110" yWindow="-110" windowWidth="19420" windowHeight="10560" tabRatio="606" xr2:uid="{00000000-000D-0000-FFFF-FFFF00000000}"/>
  </bookViews>
  <sheets>
    <sheet name="Sheet2" sheetId="2" r:id="rId1"/>
    <sheet name="Sheet3" sheetId="3" r:id="rId2"/>
  </sheets>
  <calcPr calcId="181029"/>
  <pivotCaches>
    <pivotCache cacheId="38" r:id="rId3"/>
  </pivotCaches>
</workbook>
</file>

<file path=xl/calcChain.xml><?xml version="1.0" encoding="utf-8"?>
<calcChain xmlns="http://schemas.openxmlformats.org/spreadsheetml/2006/main">
  <c r="M22" i="3" l="1"/>
  <c r="O22" i="3"/>
  <c r="K22" i="3"/>
  <c r="I22" i="3"/>
  <c r="G22" i="3"/>
  <c r="F18" i="3"/>
  <c r="H18" i="3"/>
  <c r="J18" i="3"/>
  <c r="L18" i="3"/>
  <c r="N18" i="3"/>
  <c r="E22" i="3"/>
  <c r="D18" i="3"/>
  <c r="P6" i="3"/>
  <c r="P16" i="3"/>
  <c r="B18" i="3"/>
  <c r="C22" i="3"/>
  <c r="F61" i="2"/>
  <c r="F56" i="2"/>
  <c r="F51" i="2"/>
  <c r="F46" i="2"/>
  <c r="F41" i="2"/>
  <c r="F36" i="2"/>
  <c r="F31" i="2"/>
  <c r="F26" i="2"/>
  <c r="F21" i="2"/>
  <c r="F16" i="2"/>
  <c r="F11" i="2"/>
  <c r="F6" i="2"/>
  <c r="P15" i="3"/>
  <c r="P14" i="3"/>
  <c r="P13" i="3"/>
  <c r="P12" i="3"/>
  <c r="P11" i="3"/>
  <c r="P10" i="3"/>
  <c r="P9" i="3"/>
  <c r="P8" i="3"/>
  <c r="P7" i="3"/>
  <c r="P5" i="3"/>
  <c r="R31" i="3" l="1"/>
  <c r="R34" i="3"/>
  <c r="R30" i="3"/>
  <c r="R35" i="3"/>
  <c r="R33" i="3"/>
  <c r="R32" i="3"/>
  <c r="P23" i="3"/>
  <c r="R28" i="3" s="1"/>
  <c r="P19" i="3"/>
  <c r="R29" i="3" s="1"/>
  <c r="P17" i="3"/>
</calcChain>
</file>

<file path=xl/sharedStrings.xml><?xml version="1.0" encoding="utf-8"?>
<sst xmlns="http://schemas.openxmlformats.org/spreadsheetml/2006/main" count="242" uniqueCount="65">
  <si>
    <t>Test Name</t>
  </si>
  <si>
    <t>Test Category</t>
  </si>
  <si>
    <t>Month</t>
  </si>
  <si>
    <t>Number of Tests</t>
  </si>
  <si>
    <t>Revenue ($)</t>
  </si>
  <si>
    <t>Malaria Test</t>
  </si>
  <si>
    <t>Infectious Disease</t>
  </si>
  <si>
    <t>Jan</t>
  </si>
  <si>
    <t>Blood Sugar</t>
  </si>
  <si>
    <t>Routine Test</t>
  </si>
  <si>
    <t>Full Blood Count</t>
  </si>
  <si>
    <t>Hematology</t>
  </si>
  <si>
    <t>Lipid Profile</t>
  </si>
  <si>
    <t>Cardiology</t>
  </si>
  <si>
    <t>Pregnancy Test</t>
  </si>
  <si>
    <t>Hormone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</si>
  <si>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</si>
  <si>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</si>
  <si>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</si>
  <si>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</si>
  <si>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</si>
  <si>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</si>
  <si>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</si>
  <si>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</si>
  <si>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</si>
  <si>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</si>
  <si>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</si>
  <si>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CBC Tests</t>
  </si>
  <si>
    <t>Lipid Profile Tests</t>
  </si>
  <si>
    <t>Liver Function Tests</t>
  </si>
  <si>
    <t>Kidney Function Tests</t>
  </si>
  <si>
    <t>Urinalysis Tests</t>
  </si>
  <si>
    <t>Malaria Tests</t>
  </si>
  <si>
    <t>COVID-19 PCR Tests</t>
  </si>
  <si>
    <t xml:space="preserve">BANE MEDICAL DIAGNOSTICS </t>
  </si>
  <si>
    <t>Diagnostic test revenue analysis From Jan -Dec 2025</t>
  </si>
  <si>
    <t>Total Revenue (N)</t>
  </si>
  <si>
    <t>Metric</t>
  </si>
  <si>
    <t>Value</t>
  </si>
  <si>
    <t>Total Test Performed</t>
  </si>
  <si>
    <t xml:space="preserve">Total  Revenue per month </t>
  </si>
  <si>
    <t>Grand Total</t>
  </si>
  <si>
    <t xml:space="preserve">Sum of Total  Revenue per month </t>
  </si>
  <si>
    <t>Sum of Number of Tests</t>
  </si>
  <si>
    <t>Test  Name</t>
  </si>
  <si>
    <t>Months</t>
  </si>
  <si>
    <t xml:space="preserve">Total Number of Revenue Per  Test </t>
  </si>
  <si>
    <t>Total Number of 
Profile Test</t>
  </si>
  <si>
    <t>Kidney Revenue (₦)</t>
  </si>
  <si>
    <t>Liver Revenue
 (₦)</t>
  </si>
  <si>
    <t>Lipid Revenue (₦)</t>
  </si>
  <si>
    <t>CBC Revenue (₦)</t>
  </si>
  <si>
    <t>Urinalysis Revenue (₦)</t>
  </si>
  <si>
    <t>Malaria Revenue (₦)</t>
  </si>
  <si>
    <t>COVID Revenue (₦)</t>
  </si>
  <si>
    <t>Total Revenue Per Month (₦)</t>
  </si>
  <si>
    <t xml:space="preserve">   Grand Total Revenue
 per Month    </t>
  </si>
  <si>
    <t>Highest Revenue Per  Month</t>
  </si>
  <si>
    <t>Highest Revenue  Per Test</t>
  </si>
  <si>
    <t>Lowest Revenue Per month</t>
  </si>
  <si>
    <t xml:space="preserve">Lowest Revenue  Per Test </t>
  </si>
  <si>
    <t>Highest Profile Text</t>
  </si>
  <si>
    <t xml:space="preserve">Lowest Profile Text </t>
  </si>
  <si>
    <t>Annual Number
of Profile Test</t>
  </si>
  <si>
    <t xml:space="preserve"> Total Annual Revenue
 (All Tests Combined)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</si>
</sst>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5" formatCode="&quot;$&quot;#,##0.00;\-&quot;$&quot;#,##0.00"/>
    <numFmt numFmtId="166" formatCode="_(&quot;$&quot;* #,##0_);_(&quot;$&quot;* \(#,##0\);_(&quot;$&quot;* &quot;-&quot;??_);_(@_)"/>
    <numFmt numFmtId="167" formatCode="_-[$₦-470]* #,##0_-;\-[$₦-470]* #,##0_-;_-[$₦-470]* &quot;-&quot;_-;_-@_-"/>
    <numFmt numFmtId="168" formatCode="_-[$₦-470]* #,##0_-;\-[$₦-470]* #,##0_-;_-[$₦-470]* &quot;-&quot;??_-;_-@_-"/>
  </numFmts>
  <fonts count="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165" fontId="2" fillId="0" borderId="0" xfId="0" applyNumberFormat="1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3" fontId="3" fillId="0" borderId="0" xfId="0" applyNumberFormat="1" applyFont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pivotButton="1"/>
    <xf numFmtId="166" fontId="0" fillId="0" borderId="0" xfId="1" applyNumberFormat="1" applyFont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167" fontId="5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8" fontId="1" fillId="0" borderId="0" xfId="0" applyNumberFormat="1" applyFont="1"/>
    <xf numFmtId="167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7" fontId="5" fillId="0" borderId="0" xfId="1" applyNumberFormat="1" applyFont="1" applyAlignment="1"/>
    <xf numFmtId="167" fontId="5" fillId="0" borderId="0" xfId="0" applyNumberFormat="1" applyFont="1"/>
    <xf numFmtId="167" fontId="1" fillId="0" borderId="0" xfId="0" applyNumberFormat="1" applyFont="1"/>
    <xf numFmtId="167" fontId="5" fillId="0" borderId="0" xfId="1" applyNumberFormat="1" applyFont="1" applyAlignment="1">
      <alignment horizontal="center"/>
    </xf>
    <xf numFmtId="168" fontId="5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167" fontId="5" fillId="0" borderId="0" xfId="0" applyNumberFormat="1" applyFont="1" applyAlignment="1">
      <alignment horizontal="center" wrapText="1"/>
    </xf>
    <xf numFmtId="168" fontId="5" fillId="0" borderId="0" xfId="0" applyNumberFormat="1" applyFont="1" applyAlignment="1">
      <alignment horizontal="center" wrapText="1"/>
    </xf>
    <xf numFmtId="17" fontId="6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167" fontId="6" fillId="0" borderId="0" xfId="1" applyNumberFormat="1" applyFont="1" applyAlignment="1">
      <alignment wrapText="1"/>
    </xf>
    <xf numFmtId="167" fontId="6" fillId="0" borderId="0" xfId="0" applyNumberFormat="1" applyFont="1" applyAlignment="1">
      <alignment wrapText="1"/>
    </xf>
    <xf numFmtId="167" fontId="6" fillId="0" borderId="0" xfId="0" applyNumberFormat="1" applyFont="1" applyAlignment="1">
      <alignment horizontal="center" wrapText="1"/>
    </xf>
    <xf numFmtId="168" fontId="6" fillId="0" borderId="0" xfId="0" applyNumberFormat="1" applyFont="1" applyAlignment="1">
      <alignment wrapText="1"/>
    </xf>
    <xf numFmtId="167" fontId="6" fillId="0" borderId="0" xfId="1" applyNumberFormat="1" applyFont="1"/>
    <xf numFmtId="167" fontId="6" fillId="0" borderId="0" xfId="0" applyNumberFormat="1" applyFont="1"/>
    <xf numFmtId="167" fontId="6" fillId="0" borderId="0" xfId="0" applyNumberFormat="1" applyFont="1" applyAlignment="1">
      <alignment horizontal="center"/>
    </xf>
    <xf numFmtId="168" fontId="6" fillId="0" borderId="0" xfId="0" applyNumberFormat="1" applyFont="1"/>
    <xf numFmtId="167" fontId="6" fillId="0" borderId="0" xfId="1" applyNumberFormat="1" applyFont="1" applyAlignment="1"/>
    <xf numFmtId="3" fontId="5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wrapText="1"/>
    </xf>
    <xf numFmtId="168" fontId="6" fillId="0" borderId="0" xfId="0" applyNumberFormat="1" applyFont="1" applyAlignment="1">
      <alignment horizontal="center" wrapText="1"/>
    </xf>
    <xf numFmtId="0" fontId="7" fillId="0" borderId="0" xfId="0" applyFont="1"/>
    <xf numFmtId="3" fontId="7" fillId="0" borderId="0" xfId="0" applyNumberFormat="1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</cellXfs>
  <cellStyles count="2">
    <cellStyle name="Currency" xfId="1" builtinId="4"/>
    <cellStyle name="Normal" xfId="0" builtinId="0"/>
  </cellStyles>
  <dxfs count="77">
    <dxf>
      <fill>
        <patternFill>
          <bgColor rgb="FF00B0F0"/>
        </patternFill>
      </fill>
    </dxf>
    <dxf>
      <numFmt numFmtId="0" formatCode="General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7" formatCode="_-[$₦-470]* #,##0_-;\-[$₦-470]* #,##0_-;_-[$₦-470]* &quot;-&quot;_-;_-@_-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167" formatCode="_-[$₦-470]* #,##0_-;\-[$₦-470]* #,##0_-;_-[$₦-470]* &quot;-&quot;_-;_-@_-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8" formatCode="_-[$₦-470]* #,##0_-;\-[$₦-470]* #,##0_-;_-[$₦-470]* &quot;-&quot;??_-;_-@_-"/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168" formatCode="_-[$₦-470]* #,##0_-;\-[$₦-470]* #,##0_-;_-[$₦-470]* &quot;-&quot;??_-;_-@_-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7" formatCode="_-[$₦-470]* #,##0_-;\-[$₦-470]* #,##0_-;_-[$₦-470]* &quot;-&quot;_-;_-@_-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167" formatCode="_-[$₦-470]* #,##0_-;\-[$₦-470]* #,##0_-;_-[$₦-470]* &quot;-&quot;_-;_-@_-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7" formatCode="_-[$₦-470]* #,##0_-;\-[$₦-470]* #,##0_-;_-[$₦-470]* &quot;-&quot;_-;_-@_-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167" formatCode="_-[$₦-470]* #,##0_-;\-[$₦-470]* #,##0_-;_-[$₦-470]* &quot;-&quot;_-;_-@_-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7" formatCode="_-[$₦-470]* #,##0_-;\-[$₦-470]* #,##0_-;_-[$₦-470]* &quot;-&quot;_-;_-@_-"/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167" formatCode="_-[$₦-470]* #,##0_-;\-[$₦-470]* #,##0_-;_-[$₦-470]* &quot;-&quot;_-;_-@_-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7" formatCode="_-[$₦-470]* #,##0_-;\-[$₦-470]* #,##0_-;_-[$₦-470]* &quot;-&quot;_-;_-@_-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167" formatCode="_-[$₦-470]* #,##0_-;\-[$₦-470]* #,##0_-;_-[$₦-470]* &quot;-&quot;_-;_-@_-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7" formatCode="_-[$₦-470]* #,##0_-;\-[$₦-470]* #,##0_-;_-[$₦-470]* &quot;-&quot;_-;_-@_-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7" formatCode="_-[$₦-470]* #,##0_-;\-[$₦-470]* #,##0_-;_-[$₦-470]* &quot;-&quot;_-;_-@_-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7" formatCode="_-[$₦-470]* #,##0_-;\-[$₦-470]* #,##0_-;_-[$₦-470]* &quot;-&quot;_-;_-@_-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7" formatCode="_-[$₦-470]* #,##0_-;\-[$₦-470]* #,##0_-;_-[$₦-470]* &quot;-&quot;_-;_-@_-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2" formatCode="mmm\-yy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22" formatCode="mmm\-yy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7" formatCode="_-[$₦-470]* #,##0_-;\-[$₦-470]* #,##0_-;_-[$₦-470]* &quot;-&quot;_-;_-@_-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168" formatCode="_-[$₦-470]* #,##0_-;\-[$₦-470]* #,##0_-;_-[$₦-470]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8" formatCode="_-[$₦-470]* #,##0_-;\-[$₦-470]* #,##0_-;_-[$₦-470]* &quot;-&quot;??_-;_-@_-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167" formatCode="_-[$₦-470]* #,##0_-;\-[$₦-470]* #,##0_-;_-[$₦-470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7" formatCode="_-[$₦-470]* #,##0_-;\-[$₦-470]* #,##0_-;_-[$₦-470]* &quot;-&quot;_-;_-@_-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167" formatCode="_-[$₦-470]* #,##0_-;\-[$₦-470]* #,##0_-;_-[$₦-470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7" formatCode="_-[$₦-470]* #,##0_-;\-[$₦-470]* #,##0_-;_-[$₦-470]* &quot;-&quot;_-;_-@_-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167" formatCode="_-[$₦-470]* #,##0_-;\-[$₦-470]* #,##0_-;_-[$₦-470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7" formatCode="_-[$₦-470]* #,##0_-;\-[$₦-470]* #,##0_-;_-[$₦-470]* &quot;-&quot;_-;_-@_-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167" formatCode="_-[$₦-470]* #,##0_-;\-[$₦-470]* #,##0_-;_-[$₦-470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7" formatCode="_-[$₦-470]* #,##0_-;\-[$₦-470]* #,##0_-;_-[$₦-470]* &quot;-&quot;_-;_-@_-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167" formatCode="_-[$₦-470]* #,##0_-;\-[$₦-470]* #,##0_-;_-[$₦-470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7" formatCode="_-[$₦-470]* #,##0_-;\-[$₦-470]* #,##0_-;_-[$₦-470]* &quot;-&quot;_-;_-@_-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7" formatCode="_-[$₦-470]* #,##0_-;\-[$₦-470]* #,##0_-;_-[$₦-470]* &quot;-&quot;_-;_-@_-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0" formatCode="General"/>
    </dxf>
  </dxfs>
  <tableStyles count="0" defaultTableStyle="TableStyleMedium2" defaultPivotStyle="PivotStyleLight16"/>
  <colors>
    <mruColors>
      <color rgb="FF2521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185658047326503"/>
          <c:y val="8.6009971176801869E-2"/>
          <c:w val="0.74035415808087091"/>
          <c:h val="0.76745361765401643"/>
        </c:manualLayout>
      </c:layout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174750</c:v>
              </c:pt>
              <c:pt idx="1">
                <c:v>127500</c:v>
              </c:pt>
              <c:pt idx="2">
                <c:v>218500</c:v>
              </c:pt>
              <c:pt idx="3">
                <c:v>218500</c:v>
              </c:pt>
              <c:pt idx="4">
                <c:v>241500</c:v>
              </c:pt>
              <c:pt idx="5">
                <c:v>255500</c:v>
              </c:pt>
              <c:pt idx="6">
                <c:v>223250</c:v>
              </c:pt>
              <c:pt idx="7">
                <c:v>211750</c:v>
              </c:pt>
              <c:pt idx="8">
                <c:v>197750</c:v>
              </c:pt>
              <c:pt idx="9">
                <c:v>183750</c:v>
              </c:pt>
              <c:pt idx="10">
                <c:v>169750</c:v>
              </c:pt>
              <c:pt idx="11">
                <c:v>155750</c:v>
              </c:pt>
            </c:numLit>
          </c:val>
          <c:extLst>
            <c:ext xmlns:c16="http://schemas.microsoft.com/office/drawing/2014/chart" uri="{C3380CC4-5D6E-409C-BE32-E72D297353CC}">
              <c16:uniqueId val="{00000000-04E3-4E86-94DA-22E33C633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360467608"/>
        <c:axId val="360467968"/>
        <c:axId val="0"/>
      </c:bar3DChart>
      <c:catAx>
        <c:axId val="360467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 </a:t>
                </a:r>
                <a:r>
                  <a:rPr lang="fr-FR" sz="1400">
                    <a:latin typeface="Arial Black" panose="020B0A04020102020204" pitchFamily="34" charset="0"/>
                  </a:rPr>
                  <a:t>MONTH</a:t>
                </a:r>
                <a:r>
                  <a:rPr lang="fr-FR"/>
                  <a:t> </a:t>
                </a:r>
              </a:p>
            </c:rich>
          </c:tx>
          <c:layout>
            <c:manualLayout>
              <c:xMode val="edge"/>
              <c:yMode val="edge"/>
              <c:x val="0.46664358485321883"/>
              <c:y val="0.886593563712981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0467968"/>
        <c:crosses val="autoZero"/>
        <c:auto val="1"/>
        <c:lblAlgn val="ctr"/>
        <c:lblOffset val="100"/>
        <c:noMultiLvlLbl val="0"/>
      </c:catAx>
      <c:valAx>
        <c:axId val="36046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fr-FR" sz="1050">
                    <a:latin typeface="Arial Black" panose="020B0A04020102020204" pitchFamily="34" charset="0"/>
                  </a:rPr>
                  <a:t>Total  Revenue per month </a:t>
                </a:r>
              </a:p>
            </c:rich>
          </c:tx>
          <c:layout>
            <c:manualLayout>
              <c:xMode val="edge"/>
              <c:yMode val="edge"/>
              <c:x val="3.2496238223483069E-2"/>
              <c:y val="0.12002209178818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fr-FR"/>
          </a:p>
        </c:txPr>
        <c:crossAx val="360467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DA2-40D7-8944-F8C5708DC2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DA2-40D7-8944-F8C5708DC2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DA2-40D7-8944-F8C5708DC2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DA2-40D7-8944-F8C5708DC2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DA2-40D7-8944-F8C5708DC23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Blood Sugar</c:v>
              </c:pt>
              <c:pt idx="1">
                <c:v>Full Blood Count</c:v>
              </c:pt>
              <c:pt idx="2">
                <c:v>Lipid Profile</c:v>
              </c:pt>
              <c:pt idx="3">
                <c:v>Malaria Test</c:v>
              </c:pt>
              <c:pt idx="4">
                <c:v>Pregnancy Test</c:v>
              </c:pt>
            </c:strLit>
          </c:cat>
          <c:val>
            <c:numLit>
              <c:formatCode>General</c:formatCode>
              <c:ptCount val="5"/>
              <c:pt idx="0">
                <c:v>1210</c:v>
              </c:pt>
              <c:pt idx="1">
                <c:v>1010</c:v>
              </c:pt>
              <c:pt idx="2">
                <c:v>570</c:v>
              </c:pt>
              <c:pt idx="3">
                <c:v>1730</c:v>
              </c:pt>
              <c:pt idx="4">
                <c:v>865</c:v>
              </c:pt>
            </c:numLit>
          </c:val>
          <c:extLst>
            <c:ext xmlns:c16="http://schemas.microsoft.com/office/drawing/2014/chart" uri="{C3380CC4-5D6E-409C-BE32-E72D297353CC}">
              <c16:uniqueId val="{0000000A-ADA2-40D7-8944-F8C5708DC23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6687149668403123E-2"/>
          <c:y val="0.3910840425063532"/>
          <c:w val="0.15477878796107558"/>
          <c:h val="0.43093446129510138"/>
        </c:manualLayout>
      </c:layout>
      <c:overlay val="1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5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Diagnostics Test Revenue Per Month (Jan-Dec 2025)</a:t>
            </a:r>
          </a:p>
          <a:p>
            <a:pPr>
              <a:defRPr/>
            </a:pPr>
            <a:endParaRPr lang="en-US" sz="1400" b="1" i="0" u="none" strike="noStrike" kern="1200" baseline="0">
              <a:solidFill>
                <a:srgbClr val="44546A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Sheet3!$P$4</c:f>
              <c:strCache>
                <c:ptCount val="1"/>
                <c:pt idx="0">
                  <c:v> Total Revenue Per Month (₦)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Sheet3!$A$5:$A$16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Sheet3!$P$5:$P$16</c:f>
              <c:numCache>
                <c:formatCode>_-[$₦-470]* #,##0_-;\-[$₦-470]* #,##0_-;_-[$₦-470]* "-"_-;_-@_-</c:formatCode>
                <c:ptCount val="12"/>
                <c:pt idx="0">
                  <c:v>2080000</c:v>
                </c:pt>
                <c:pt idx="1">
                  <c:v>1840000</c:v>
                </c:pt>
                <c:pt idx="2">
                  <c:v>2020000</c:v>
                </c:pt>
                <c:pt idx="3">
                  <c:v>2110000</c:v>
                </c:pt>
                <c:pt idx="4">
                  <c:v>2210000</c:v>
                </c:pt>
                <c:pt idx="5">
                  <c:v>2340000</c:v>
                </c:pt>
                <c:pt idx="6">
                  <c:v>2460000</c:v>
                </c:pt>
                <c:pt idx="7">
                  <c:v>2400000</c:v>
                </c:pt>
                <c:pt idx="8">
                  <c:v>2300000</c:v>
                </c:pt>
                <c:pt idx="9">
                  <c:v>2240000</c:v>
                </c:pt>
                <c:pt idx="10">
                  <c:v>2180000</c:v>
                </c:pt>
                <c:pt idx="11">
                  <c:v>2360000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9A-4DFF-BDD5-936A389E1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3107160"/>
        <c:axId val="563108600"/>
      </c:lineChart>
      <c:dateAx>
        <c:axId val="563107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3108600"/>
        <c:crosses val="autoZero"/>
        <c:auto val="1"/>
        <c:lblOffset val="100"/>
        <c:baseTimeUnit val="months"/>
      </c:dateAx>
      <c:valAx>
        <c:axId val="563108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 b="1" i="0" u="none" strike="noStrike" kern="1200" baseline="0">
                    <a:solidFill>
                      <a:srgbClr val="44546A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Revenue Per Month (₦)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fr-FR" sz="11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[$₦-470]* #,##0_-;\-[$₦-470]* #,##0_-;_-[$₦-470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3107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kern="1200" spc="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Diagnostics Revenue per Test  (Jan-Dec 2025)</a:t>
            </a:r>
          </a:p>
          <a:p>
            <a:pPr>
              <a:defRPr/>
            </a:pPr>
            <a:endParaRPr lang="en-US" sz="1400" b="1" i="0" u="none" strike="noStrike" kern="1200" spc="0" baseline="0">
              <a:solidFill>
                <a:srgbClr val="44546A"/>
              </a:solidFill>
            </a:endParaRP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14381032077130373"/>
          <c:y val="2.75792977196046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Sheet3!$C$4</c:f>
              <c:strCache>
                <c:ptCount val="1"/>
                <c:pt idx="0">
                  <c:v> CBC Revenue (₦)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Sheet3!$C$22</c:f>
              <c:numCache>
                <c:formatCode>_-[$₦-470]* #,##0_-;\-[$₦-470]* #,##0_-;_-[$₦-470]* "-"_-;_-@_-</c:formatCode>
                <c:ptCount val="1"/>
                <c:pt idx="0">
                  <c:v>5090000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9-4247-859C-AB2B57D6D300}"/>
            </c:ext>
          </c:extLst>
        </c:ser>
        <c:ser>
          <c:idx val="1"/>
          <c:order val="1"/>
          <c:tx>
            <c:strRef>
              <c:f>Sheet3!$E$4</c:f>
              <c:strCache>
                <c:ptCount val="1"/>
                <c:pt idx="0">
                  <c:v> Lipid Revenue (₦)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Sheet3!$E$22</c:f>
              <c:numCache>
                <c:formatCode>_-[$₦-470]* #,##0_-;\-[$₦-470]* #,##0_-;_-[$₦-470]* "-"_-;_-@_-</c:formatCode>
                <c:ptCount val="1"/>
                <c:pt idx="0">
                  <c:v>6360000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59-4247-859C-AB2B57D6D300}"/>
            </c:ext>
          </c:extLst>
        </c:ser>
        <c:ser>
          <c:idx val="2"/>
          <c:order val="2"/>
          <c:tx>
            <c:strRef>
              <c:f>Sheet3!$G$4</c:f>
              <c:strCache>
                <c:ptCount val="1"/>
                <c:pt idx="0">
                  <c:v> Liver Revenue
 (₦)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Sheet3!$G$22</c:f>
              <c:numCache>
                <c:formatCode>_-[$₦-470]* #,##0_-;\-[$₦-470]* #,##0_-;_-[$₦-470]* "-"_-;_-@_-</c:formatCode>
                <c:ptCount val="1"/>
                <c:pt idx="0">
                  <c:v>2960000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59-4247-859C-AB2B57D6D300}"/>
            </c:ext>
          </c:extLst>
        </c:ser>
        <c:ser>
          <c:idx val="3"/>
          <c:order val="3"/>
          <c:tx>
            <c:strRef>
              <c:f>Sheet3!$I$4</c:f>
              <c:strCache>
                <c:ptCount val="1"/>
                <c:pt idx="0">
                  <c:v> Kidney Revenue (₦)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Sheet3!$I$22</c:f>
              <c:numCache>
                <c:formatCode>_-[$₦-470]* #,##0_-;\-[$₦-470]* #,##0_-;_-[$₦-470]* "-"_-;_-@_-</c:formatCode>
                <c:ptCount val="1"/>
                <c:pt idx="0">
                  <c:v>2250000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59-4247-859C-AB2B57D6D300}"/>
            </c:ext>
          </c:extLst>
        </c:ser>
        <c:ser>
          <c:idx val="4"/>
          <c:order val="4"/>
          <c:tx>
            <c:strRef>
              <c:f>Sheet3!$K$4</c:f>
              <c:strCache>
                <c:ptCount val="1"/>
                <c:pt idx="0">
                  <c:v> Urinalysis Revenue (₦)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Sheet3!$K$22</c:f>
              <c:numCache>
                <c:formatCode>_-[$₦-470]* #,##0_-;\-[$₦-470]* #,##0_-;_-[$₦-470]* "-"_-;_-@_-</c:formatCode>
                <c:ptCount val="1"/>
                <c:pt idx="0">
                  <c:v>3800000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59-4247-859C-AB2B57D6D300}"/>
            </c:ext>
          </c:extLst>
        </c:ser>
        <c:ser>
          <c:idx val="5"/>
          <c:order val="5"/>
          <c:tx>
            <c:strRef>
              <c:f>Sheet3!$M$4</c:f>
              <c:strCache>
                <c:ptCount val="1"/>
                <c:pt idx="0">
                  <c:v> Malaria Revenue (₦)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Sheet3!$M$22</c:f>
              <c:numCache>
                <c:formatCode>_-[$₦-470]* #,##0_-;\-[$₦-470]* #,##0_-;_-[$₦-470]* "-"_-;_-@_-</c:formatCode>
                <c:ptCount val="1"/>
                <c:pt idx="0">
                  <c:v>3910000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59-4247-859C-AB2B57D6D300}"/>
            </c:ext>
          </c:extLst>
        </c:ser>
        <c:ser>
          <c:idx val="6"/>
          <c:order val="6"/>
          <c:tx>
            <c:strRef>
              <c:f>Sheet3!$O$4</c:f>
              <c:strCache>
                <c:ptCount val="1"/>
                <c:pt idx="0">
                  <c:v> COVID Revenue (₦)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Sheet3!$O$22</c:f>
              <c:numCache>
                <c:formatCode>_-[$₦-470]* #,##0_-;\-[$₦-470]* #,##0_-;_-[$₦-470]* "-"_-;_-@_-</c:formatCode>
                <c:ptCount val="1"/>
                <c:pt idx="0">
                  <c:v>2170000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59-4247-859C-AB2B57D6D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0005600"/>
        <c:axId val="600005960"/>
      </c:barChart>
      <c:catAx>
        <c:axId val="60000560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Text</a:t>
                </a:r>
                <a:r>
                  <a:rPr lang="fr-FR" sz="1100" b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Revenue</a:t>
                </a:r>
                <a:endParaRPr lang="fr-FR" sz="11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5473806328753005"/>
              <c:y val="0.916057806699337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crossAx val="600005960"/>
        <c:crosses val="autoZero"/>
        <c:auto val="1"/>
        <c:lblAlgn val="ctr"/>
        <c:lblOffset val="100"/>
        <c:noMultiLvlLbl val="0"/>
      </c:catAx>
      <c:valAx>
        <c:axId val="600005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Number of Revenue Per  Test </a:t>
                </a:r>
              </a:p>
            </c:rich>
          </c:tx>
          <c:layout>
            <c:manualLayout>
              <c:xMode val="edge"/>
              <c:yMode val="edge"/>
              <c:x val="2.4983868683212413E-2"/>
              <c:y val="7.469373059258083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[$₦-470]* #,##0_-;\-[$₦-470]* #,##0_-;_-[$₦-470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000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476303863667888"/>
          <c:y val="0.2249547393688216"/>
          <c:w val="0.28413955210594094"/>
          <c:h val="0.752760806321370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Annual Number of Tests Performed</a:t>
            </a:r>
            <a:endParaRPr lang="fr-FR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20"/>
      <c:rotY val="18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694468275333878"/>
          <c:y val="0.18078092510348109"/>
          <c:w val="0.83097621184181547"/>
          <c:h val="0.34259331233565982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Sheet3!$B$4</c:f>
              <c:strCache>
                <c:ptCount val="1"/>
                <c:pt idx="0">
                  <c:v>CBC Tests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Sheet3!$B$18</c:f>
              <c:numCache>
                <c:formatCode>General</c:formatCode>
                <c:ptCount val="1"/>
                <c:pt idx="0">
                  <c:v>1459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E-4906-B199-515A05994C7B}"/>
            </c:ext>
          </c:extLst>
        </c:ser>
        <c:ser>
          <c:idx val="1"/>
          <c:order val="1"/>
          <c:tx>
            <c:strRef>
              <c:f>Sheet3!$D$4</c:f>
              <c:strCache>
                <c:ptCount val="1"/>
                <c:pt idx="0">
                  <c:v>Lipid Profile Tests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Sheet3!$D$18</c:f>
              <c:numCache>
                <c:formatCode>General</c:formatCode>
                <c:ptCount val="1"/>
                <c:pt idx="0">
                  <c:v>1059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4E-4906-B199-515A05994C7B}"/>
            </c:ext>
          </c:extLst>
        </c:ser>
        <c:ser>
          <c:idx val="2"/>
          <c:order val="2"/>
          <c:tx>
            <c:strRef>
              <c:f>Sheet3!$F$4</c:f>
              <c:strCache>
                <c:ptCount val="1"/>
                <c:pt idx="0">
                  <c:v>Liver Function Tests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Sheet3!$F$18</c:f>
              <c:numCache>
                <c:formatCode>General</c:formatCode>
                <c:ptCount val="1"/>
                <c:pt idx="0">
                  <c:v>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4E-4906-B199-515A05994C7B}"/>
            </c:ext>
          </c:extLst>
        </c:ser>
        <c:ser>
          <c:idx val="3"/>
          <c:order val="3"/>
          <c:tx>
            <c:strRef>
              <c:f>Sheet3!$H$4</c:f>
              <c:strCache>
                <c:ptCount val="1"/>
                <c:pt idx="0">
                  <c:v>Kidney Function Tests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Sheet3!$H$18</c:f>
              <c:numCache>
                <c:formatCode>General</c:formatCode>
                <c:ptCount val="1"/>
                <c:pt idx="0">
                  <c:v>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4E-4906-B199-515A05994C7B}"/>
            </c:ext>
          </c:extLst>
        </c:ser>
        <c:ser>
          <c:idx val="4"/>
          <c:order val="4"/>
          <c:tx>
            <c:strRef>
              <c:f>Sheet3!$J$4</c:f>
              <c:strCache>
                <c:ptCount val="1"/>
                <c:pt idx="0">
                  <c:v>Urinalysis Tests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val>
            <c:numRef>
              <c:f>Sheet3!$J$18</c:f>
              <c:numCache>
                <c:formatCode>General</c:formatCode>
                <c:ptCount val="1"/>
                <c:pt idx="0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4E-4906-B199-515A05994C7B}"/>
            </c:ext>
          </c:extLst>
        </c:ser>
        <c:ser>
          <c:idx val="5"/>
          <c:order val="5"/>
          <c:tx>
            <c:strRef>
              <c:f>Sheet3!$L$4</c:f>
              <c:strCache>
                <c:ptCount val="1"/>
                <c:pt idx="0">
                  <c:v>Malaria Tests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val>
            <c:numRef>
              <c:f>Sheet3!$L$18</c:f>
              <c:numCache>
                <c:formatCode>General</c:formatCode>
                <c:ptCount val="1"/>
                <c:pt idx="0">
                  <c:v>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4E-4906-B199-515A05994C7B}"/>
            </c:ext>
          </c:extLst>
        </c:ser>
        <c:ser>
          <c:idx val="6"/>
          <c:order val="6"/>
          <c:tx>
            <c:strRef>
              <c:f>Sheet3!$N$4</c:f>
              <c:strCache>
                <c:ptCount val="1"/>
                <c:pt idx="0">
                  <c:v>COVID-19 PCR Tests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Sheet3!$N$18</c:f>
              <c:numCache>
                <c:formatCode>General</c:formatCode>
                <c:ptCount val="1"/>
                <c:pt idx="0">
                  <c:v>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4E-4906-B199-515A05994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69330560"/>
        <c:axId val="569331280"/>
        <c:axId val="0"/>
      </c:bar3DChart>
      <c:catAx>
        <c:axId val="569330560"/>
        <c:scaling>
          <c:orientation val="minMax"/>
        </c:scaling>
        <c:delete val="0"/>
        <c:axPos val="l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Text</a:t>
                </a:r>
                <a:r>
                  <a:rPr lang="fr-FR" baseline="0"/>
                  <a:t> Types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9331280"/>
        <c:crosses val="autoZero"/>
        <c:auto val="1"/>
        <c:lblAlgn val="ctr"/>
        <c:lblOffset val="100"/>
        <c:noMultiLvlLbl val="0"/>
      </c:catAx>
      <c:valAx>
        <c:axId val="56933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>
                    <a:latin typeface="Arial Black" panose="020B0A04020102020204" pitchFamily="34" charset="0"/>
                  </a:rPr>
                  <a:t>Total Number of Profile Test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933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425136</xdr:colOff>
      <xdr:row>16</xdr:row>
      <xdr:rowOff>116981</xdr:rowOff>
    </xdr:from>
    <xdr:to>
      <xdr:col>11</xdr:col>
      <xdr:colOff>522741</xdr:colOff>
      <xdr:row>31</xdr:row>
      <xdr:rowOff>49549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E017E6-7AC0-C47E-CD97-250A1BB7A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800911</xdr:colOff>
      <xdr:row>9</xdr:row>
      <xdr:rowOff>31613</xdr:rowOff>
    </xdr:from>
    <xdr:to>
      <xdr:col>17</xdr:col>
      <xdr:colOff>17642</xdr:colOff>
      <xdr:row>24</xdr:row>
      <xdr:rowOff>150651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26AC30-FD5B-436C-B2F9-B1EE549FA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598</xdr:colOff>
      <xdr:row>24</xdr:row>
      <xdr:rowOff>10910</xdr:rowOff>
    </xdr:from>
    <xdr:to>
      <xdr:col>8</xdr:col>
      <xdr:colOff>479898</xdr:colOff>
      <xdr:row>38</xdr:row>
      <xdr:rowOff>123201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F003BA1-45B4-7439-093F-FCDA0EA13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508041</xdr:colOff>
      <xdr:row>24</xdr:row>
      <xdr:rowOff>108017</xdr:rowOff>
    </xdr:from>
    <xdr:to>
      <xdr:col>11</xdr:col>
      <xdr:colOff>947719</xdr:colOff>
      <xdr:row>39</xdr:row>
      <xdr:rowOff>119593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2BB1CD6-F66F-7AC2-F789-BA3B05A64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256157</xdr:colOff>
      <xdr:row>24</xdr:row>
      <xdr:rowOff>44100</xdr:rowOff>
    </xdr:from>
    <xdr:to>
      <xdr:col>15</xdr:col>
      <xdr:colOff>599057</xdr:colOff>
      <xdr:row>38</xdr:row>
      <xdr:rowOff>113245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28018B2-6604-F321-E424-04842BC15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7.461181944447" createdVersion="8" refreshedVersion="8" minRefreshableVersion="3" recordCount="60" xr:uid="{8F155817-0D7D-4BB3-AC6F-8859A0CA782C}">
  <cacheSource type="worksheet">
    <worksheetSource ref="A1:F61" sheet="Sheet2"/>
  </cacheSource>
  <cacheFields count="6">
    <cacheField name="Test Name" numFmtId="0">
      <sharedItems count="5">
        <s v="Malaria Test"/>
        <s v="Blood Sugar"/>
        <s v="Full Blood Count"/>
        <s v="Lipid Profile"/>
        <s v="Pregnancy Test"/>
      </sharedItems>
    </cacheField>
    <cacheField name="Test Category" numFmtId="0">
      <sharedItems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Number of Tests" numFmtId="0">
      <sharedItems containsSemiMixedTypes="0" containsString="0" containsNumber="1" containsInteger="1" minValue="30" maxValue="180"/>
    </cacheField>
    <cacheField name="Revenue ($)" numFmtId="3">
      <sharedItems containsSemiMixedTypes="0" containsString="0" containsNumber="1" containsInteger="1" minValue="18000" maxValue="90000"/>
    </cacheField>
    <cacheField name="Total  Revenue per month " numFmtId="0">
      <sharedItems containsString="0" containsBlank="1" containsNumber="1" containsInteger="1" minValue="127500" maxValue="255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Infectious Disease"/>
    <x v="0"/>
    <n v="120"/>
    <n v="60000"/>
    <m/>
  </r>
  <r>
    <x v="1"/>
    <s v="Routine Test"/>
    <x v="0"/>
    <n v="90"/>
    <n v="36000"/>
    <m/>
  </r>
  <r>
    <x v="2"/>
    <s v="Hematology"/>
    <x v="0"/>
    <n v="75"/>
    <n v="33750"/>
    <m/>
  </r>
  <r>
    <x v="3"/>
    <s v="Cardiology"/>
    <x v="0"/>
    <n v="40"/>
    <n v="24000"/>
    <m/>
  </r>
  <r>
    <x v="4"/>
    <s v="Hormone"/>
    <x v="0"/>
    <n v="60"/>
    <n v="21000"/>
    <n v="174750"/>
  </r>
  <r>
    <x v="0"/>
    <s v="Infectious Disease"/>
    <x v="1"/>
    <n v="140"/>
    <n v="70000"/>
    <m/>
  </r>
  <r>
    <x v="1"/>
    <s v="Routine Test"/>
    <x v="1"/>
    <n v="100"/>
    <n v="40000"/>
    <m/>
  </r>
  <r>
    <x v="2"/>
    <s v="Hematology"/>
    <x v="1"/>
    <n v="80"/>
    <n v="36000"/>
    <m/>
  </r>
  <r>
    <x v="3"/>
    <s v="Cardiology"/>
    <x v="1"/>
    <n v="45"/>
    <n v="27000"/>
    <m/>
  </r>
  <r>
    <x v="4"/>
    <s v="Hormone"/>
    <x v="1"/>
    <n v="70"/>
    <n v="24500"/>
    <n v="127500"/>
  </r>
  <r>
    <x v="0"/>
    <s v="Infectious Disease"/>
    <x v="2"/>
    <n v="160"/>
    <n v="80000"/>
    <m/>
  </r>
  <r>
    <x v="1"/>
    <s v="Routine Test"/>
    <x v="2"/>
    <n v="110"/>
    <n v="44000"/>
    <m/>
  </r>
  <r>
    <x v="2"/>
    <s v="Hematology"/>
    <x v="2"/>
    <n v="85"/>
    <n v="38250"/>
    <m/>
  </r>
  <r>
    <x v="3"/>
    <s v="Cardiology"/>
    <x v="2"/>
    <n v="50"/>
    <n v="30000"/>
    <m/>
  </r>
  <r>
    <x v="4"/>
    <s v="Hormone"/>
    <x v="2"/>
    <n v="75"/>
    <n v="26250"/>
    <n v="218500"/>
  </r>
  <r>
    <x v="0"/>
    <s v="Infectious Disease"/>
    <x v="3"/>
    <n v="150"/>
    <n v="75000"/>
    <m/>
  </r>
  <r>
    <x v="1"/>
    <s v="Routine Test"/>
    <x v="3"/>
    <n v="105"/>
    <n v="42000"/>
    <m/>
  </r>
  <r>
    <x v="2"/>
    <s v="Hematology"/>
    <x v="3"/>
    <n v="90"/>
    <n v="40500"/>
    <m/>
  </r>
  <r>
    <x v="3"/>
    <s v="Cardiology"/>
    <x v="3"/>
    <n v="55"/>
    <n v="33000"/>
    <m/>
  </r>
  <r>
    <x v="4"/>
    <s v="Hormone"/>
    <x v="3"/>
    <n v="80"/>
    <n v="28000"/>
    <n v="218500"/>
  </r>
  <r>
    <x v="0"/>
    <s v="Infectious Disease"/>
    <x v="4"/>
    <n v="170"/>
    <n v="85000"/>
    <m/>
  </r>
  <r>
    <x v="1"/>
    <s v="Routine Test"/>
    <x v="4"/>
    <n v="120"/>
    <n v="48000"/>
    <m/>
  </r>
  <r>
    <x v="2"/>
    <s v="Hematology"/>
    <x v="4"/>
    <n v="95"/>
    <n v="42750"/>
    <m/>
  </r>
  <r>
    <x v="3"/>
    <s v="Cardiology"/>
    <x v="4"/>
    <n v="60"/>
    <n v="36000"/>
    <m/>
  </r>
  <r>
    <x v="4"/>
    <s v="Hormone"/>
    <x v="4"/>
    <n v="85"/>
    <n v="29750"/>
    <n v="241500"/>
  </r>
  <r>
    <x v="0"/>
    <s v="Infectious Disease"/>
    <x v="5"/>
    <n v="180"/>
    <n v="90000"/>
    <m/>
  </r>
  <r>
    <x v="1"/>
    <s v="Routine Test"/>
    <x v="5"/>
    <n v="125"/>
    <n v="50000"/>
    <m/>
  </r>
  <r>
    <x v="2"/>
    <s v="Hematology"/>
    <x v="5"/>
    <n v="100"/>
    <n v="45000"/>
    <m/>
  </r>
  <r>
    <x v="3"/>
    <s v="Cardiology"/>
    <x v="5"/>
    <n v="65"/>
    <n v="39000"/>
    <m/>
  </r>
  <r>
    <x v="4"/>
    <s v="Hormone"/>
    <x v="5"/>
    <n v="90"/>
    <n v="31500"/>
    <n v="255500"/>
  </r>
  <r>
    <x v="0"/>
    <s v="Infectious Disease"/>
    <x v="6"/>
    <n v="160"/>
    <n v="80000"/>
    <m/>
  </r>
  <r>
    <x v="1"/>
    <s v="Routine Test"/>
    <x v="6"/>
    <n v="110"/>
    <n v="44000"/>
    <m/>
  </r>
  <r>
    <x v="2"/>
    <s v="Hematology"/>
    <x v="6"/>
    <n v="85"/>
    <n v="38250"/>
    <m/>
  </r>
  <r>
    <x v="3"/>
    <s v="Cardiology"/>
    <x v="6"/>
    <n v="55"/>
    <n v="33000"/>
    <m/>
  </r>
  <r>
    <x v="4"/>
    <s v="Hormone"/>
    <x v="6"/>
    <n v="80"/>
    <n v="28000"/>
    <n v="223250"/>
  </r>
  <r>
    <x v="0"/>
    <s v="Infectious Disease"/>
    <x v="7"/>
    <n v="150"/>
    <n v="75000"/>
    <m/>
  </r>
  <r>
    <x v="1"/>
    <s v="Routine Test"/>
    <x v="7"/>
    <n v="100"/>
    <n v="40000"/>
    <m/>
  </r>
  <r>
    <x v="2"/>
    <s v="Hematology"/>
    <x v="7"/>
    <n v="90"/>
    <n v="40500"/>
    <m/>
  </r>
  <r>
    <x v="3"/>
    <s v="Cardiology"/>
    <x v="7"/>
    <n v="50"/>
    <n v="30000"/>
    <m/>
  </r>
  <r>
    <x v="4"/>
    <s v="Hormone"/>
    <x v="7"/>
    <n v="75"/>
    <n v="26250"/>
    <n v="211750"/>
  </r>
  <r>
    <x v="0"/>
    <s v="Infectious Disease"/>
    <x v="8"/>
    <n v="140"/>
    <n v="70000"/>
    <m/>
  </r>
  <r>
    <x v="1"/>
    <s v="Routine Test"/>
    <x v="8"/>
    <n v="95"/>
    <n v="38000"/>
    <m/>
  </r>
  <r>
    <x v="2"/>
    <s v="Hematology"/>
    <x v="8"/>
    <n v="85"/>
    <n v="38250"/>
    <m/>
  </r>
  <r>
    <x v="3"/>
    <s v="Cardiology"/>
    <x v="8"/>
    <n v="45"/>
    <n v="27000"/>
    <m/>
  </r>
  <r>
    <x v="4"/>
    <s v="Hormone"/>
    <x v="8"/>
    <n v="70"/>
    <n v="24500"/>
    <n v="197750"/>
  </r>
  <r>
    <x v="0"/>
    <s v="Infectious Disease"/>
    <x v="9"/>
    <n v="130"/>
    <n v="65000"/>
    <m/>
  </r>
  <r>
    <x v="1"/>
    <s v="Routine Test"/>
    <x v="9"/>
    <n v="90"/>
    <n v="36000"/>
    <m/>
  </r>
  <r>
    <x v="2"/>
    <s v="Hematology"/>
    <x v="9"/>
    <n v="80"/>
    <n v="36000"/>
    <m/>
  </r>
  <r>
    <x v="3"/>
    <s v="Cardiology"/>
    <x v="9"/>
    <n v="40"/>
    <n v="24000"/>
    <m/>
  </r>
  <r>
    <x v="4"/>
    <s v="Hormone"/>
    <x v="9"/>
    <n v="65"/>
    <n v="22750"/>
    <n v="183750"/>
  </r>
  <r>
    <x v="0"/>
    <s v="Infectious Disease"/>
    <x v="10"/>
    <n v="120"/>
    <n v="60000"/>
    <m/>
  </r>
  <r>
    <x v="1"/>
    <s v="Routine Test"/>
    <x v="10"/>
    <n v="85"/>
    <n v="34000"/>
    <m/>
  </r>
  <r>
    <x v="2"/>
    <s v="Hematology"/>
    <x v="10"/>
    <n v="75"/>
    <n v="33750"/>
    <m/>
  </r>
  <r>
    <x v="3"/>
    <s v="Cardiology"/>
    <x v="10"/>
    <n v="35"/>
    <n v="21000"/>
    <m/>
  </r>
  <r>
    <x v="4"/>
    <s v="Hormone"/>
    <x v="10"/>
    <n v="60"/>
    <n v="21000"/>
    <n v="169750"/>
  </r>
  <r>
    <x v="0"/>
    <s v="Infectious Disease"/>
    <x v="11"/>
    <n v="110"/>
    <n v="55000"/>
    <m/>
  </r>
  <r>
    <x v="1"/>
    <s v="Routine Test"/>
    <x v="11"/>
    <n v="80"/>
    <n v="32000"/>
    <m/>
  </r>
  <r>
    <x v="2"/>
    <s v="Hematology"/>
    <x v="11"/>
    <n v="70"/>
    <n v="31500"/>
    <m/>
  </r>
  <r>
    <x v="3"/>
    <s v="Cardiology"/>
    <x v="11"/>
    <n v="30"/>
    <n v="18000"/>
    <m/>
  </r>
  <r>
    <x v="4"/>
    <s v="Hormone"/>
    <x v="11"/>
    <n v="55"/>
    <n v="19250"/>
    <n v="1557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7EBFC-7A55-477B-AD56-EFFABEC9A18B}" name="PivotTable9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Test  Name">
  <location ref="L2:M8" firstHeaderRow="1" firstDataRow="1" firstDataCol="1"/>
  <pivotFields count="6">
    <pivotField axis="axisRow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dataField="1" showAll="0"/>
    <pivotField numFmtId="3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umber of Tests" fld="3" baseField="0" baseItem="0"/>
  </dataFields>
  <chartFormats count="8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E561A-462F-48BB-BAF4-FCEC699B147A}" name="PivotTable10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>
  <location ref="H3:I16" firstHeaderRow="1" firstDataRow="1" firstDataCol="1"/>
  <pivotFields count="6"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3"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 Revenue per month " fld="5" baseField="0" baseItem="0" numFmtId="166"/>
  </dataFields>
  <formats count="3">
    <format dxfId="76">
      <pivotArea collapsedLevelsAreSubtotals="1" fieldPosition="0">
        <references count="1">
          <reference field="2" count="1">
            <x v="4"/>
          </reference>
        </references>
      </pivotArea>
    </format>
    <format dxfId="75">
      <pivotArea outline="0" collapsedLevelsAreSubtotals="1" fieldPosition="0"/>
    </format>
    <format dxfId="7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BE2113-D289-418C-A989-37B2B458ABC9}" name="Table4" displayName="Table4" ref="A18:P23" headerRowCount="0" headerRowDxfId="73" dataDxfId="72">
  <tableColumns count="16">
    <tableColumn id="1" xr3:uid="{E2AD0E77-A901-47E7-BAC9-1F61972F27D5}" name="Column1" totalsRowLabel="Total" headerRowDxfId="71" dataDxfId="70"/>
    <tableColumn id="2" xr3:uid="{314469D3-CD20-4BBB-98A1-A95822060BF7}" name="Column2" headerRowDxfId="69" dataDxfId="68"/>
    <tableColumn id="3" xr3:uid="{91DCF1A7-74C6-48D1-AC72-1D45055C5F87}" name="Column3" headerRowDxfId="67" dataDxfId="66" headerRowCellStyle="Currency"/>
    <tableColumn id="4" xr3:uid="{AD0F1AC8-069A-435F-ACED-B3EBEDF5D6E4}" name="Column4" headerRowDxfId="65" dataDxfId="64">
      <calculatedColumnFormula>SUM(D5,D6,D7,D8)</calculatedColumnFormula>
    </tableColumn>
    <tableColumn id="5" xr3:uid="{F49FBFA9-E98C-42B1-BBA3-E447D9C182A2}" name="Column5" headerRowDxfId="63" dataDxfId="62" headerRowCellStyle="Currency">
      <calculatedColumnFormula>SUM(E3,E4,E5,E6,E7,E8,E9,E10,E11,E12,E13,E14)</calculatedColumnFormula>
    </tableColumn>
    <tableColumn id="6" xr3:uid="{3684F360-0244-489E-94F3-7D157C28DF04}" name="Column6" headerRowDxfId="61" dataDxfId="60"/>
    <tableColumn id="7" xr3:uid="{C4AABE84-B1F9-4688-8EE5-BEBADF372DB7}" name="Column7" headerRowDxfId="59" dataDxfId="58">
      <calculatedColumnFormula>SUM(G3,G4,G5,G6,G7,G8,G9,G10,G11,G12,G13,G14)</calculatedColumnFormula>
    </tableColumn>
    <tableColumn id="8" xr3:uid="{2FC822C7-EC95-4A3C-9FD2-69E4DDB55124}" name="Column8" headerRowDxfId="57" dataDxfId="56"/>
    <tableColumn id="9" xr3:uid="{AB1AE2C0-7B38-4E38-8B85-76436D5C25FE}" name="Column9" headerRowDxfId="55" dataDxfId="54">
      <calculatedColumnFormula>SUM(I3,I4,I5,I6,I7,I8,I9,I10,I11,I12,I13,I14)</calculatedColumnFormula>
    </tableColumn>
    <tableColumn id="10" xr3:uid="{F920D61E-F5CE-43BB-A15B-6C4D51861621}" name="Column10" headerRowDxfId="53" dataDxfId="52"/>
    <tableColumn id="11" xr3:uid="{804DF876-86B8-46D3-A81A-BAFB63616DDD}" name="Column11" headerRowDxfId="51" dataDxfId="50">
      <calculatedColumnFormula>SUM(K3,K4,K5,K6,K7,K8,K9,K10,K11,K12,K13,K14)</calculatedColumnFormula>
    </tableColumn>
    <tableColumn id="12" xr3:uid="{3EFADE19-5157-4034-96FC-B83A41328442}" name="Column12" headerRowDxfId="49" dataDxfId="48"/>
    <tableColumn id="13" xr3:uid="{3DA23AA7-EE9A-4608-BADE-70B16C09709B}" name="Column13" headerRowDxfId="47" dataDxfId="46">
      <calculatedColumnFormula>SUM(M3,M4,M5,M6,M7,M8,M9,M10,M11,M12,M13,M14)</calculatedColumnFormula>
    </tableColumn>
    <tableColumn id="14" xr3:uid="{7F518FFA-82A5-4395-BDA3-D61AB6BE415A}" name="Column14" headerRowDxfId="45" dataDxfId="44"/>
    <tableColumn id="15" xr3:uid="{AF63B84C-81DB-4BF7-8D98-CC44D6AAEF6F}" name="Column15" headerRowDxfId="43" dataDxfId="42">
      <calculatedColumnFormula>SUM(O3,O4,O5,O6,O7,O8,O9,O10,O11,O12,O13,O14)</calculatedColumnFormula>
    </tableColumn>
    <tableColumn id="16" xr3:uid="{FC45DCB3-B8B5-4B1D-81FC-9816B0381760}" name="Column16" totalsRowFunction="sum" headerRowDxfId="41" dataDxfId="40">
      <calculatedColumnFormula>SUM(B19, D19, F19, H19, J19, L19, N19)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D9AC69-C06C-4631-BCDB-61C3E25E5AE2}" name="Table5" displayName="Table5" ref="A4:P17" totalsRowCount="1" headerRowDxfId="39" dataDxfId="38">
  <autoFilter ref="A4:P16" xr:uid="{08D9AC69-C06C-4631-BCDB-61C3E25E5AE2}"/>
  <tableColumns count="16">
    <tableColumn id="1" xr3:uid="{7D3805CE-3951-46C2-A453-2A33D08201B3}" name="Month" dataDxfId="37" totalsRowDxfId="36"/>
    <tableColumn id="2" xr3:uid="{74414E7C-5DC9-47BF-994E-F779F6D007C3}" name="CBC Tests" dataDxfId="35" totalsRowDxfId="34"/>
    <tableColumn id="3" xr3:uid="{DB60DE90-6ABA-46FB-801F-82EB51F196D5}" name="CBC Revenue (₦)" dataDxfId="33" totalsRowDxfId="32" dataCellStyle="Currency" totalsRowCellStyle="Currency"/>
    <tableColumn id="4" xr3:uid="{E91F767B-9FC0-4781-8DB0-81144089F254}" name="Lipid Profile Tests" dataDxfId="31" totalsRowDxfId="30"/>
    <tableColumn id="5" xr3:uid="{A3C994E8-E362-4E5D-8FC9-3CCC64B30188}" name="Lipid Revenue (₦)" dataDxfId="29" totalsRowDxfId="28" dataCellStyle="Currency" totalsRowCellStyle="Currency"/>
    <tableColumn id="6" xr3:uid="{4E3B73C8-9996-4A14-BDA3-37CAF40B0D94}" name="Liver Function Tests" dataDxfId="27" totalsRowDxfId="26"/>
    <tableColumn id="7" xr3:uid="{0F1A033D-C478-4498-AAB9-093E63E83E14}" name="Liver Revenue_x000a_ (₦)" dataDxfId="25" totalsRowDxfId="24"/>
    <tableColumn id="8" xr3:uid="{06B2182C-FB62-4FB4-908A-289AEF45D8D6}" name="Kidney Function Tests" dataDxfId="23" totalsRowDxfId="22"/>
    <tableColumn id="9" xr3:uid="{1605F691-C2ED-4316-A6A1-3675FB4032C5}" name="Kidney Revenue (₦)" dataDxfId="21" totalsRowDxfId="20"/>
    <tableColumn id="10" xr3:uid="{B9F146E5-972B-492E-B38E-DAFBD2CFEA2F}" name="Urinalysis Tests" dataDxfId="19" totalsRowDxfId="18"/>
    <tableColumn id="11" xr3:uid="{C1349225-00CC-477E-BC56-B01522DBC7A3}" name="Urinalysis Revenue (₦)" dataDxfId="17" totalsRowDxfId="16"/>
    <tableColumn id="12" xr3:uid="{4D695D61-48DB-4151-87F1-D6C38DB5C420}" name="Malaria Tests" dataDxfId="15" totalsRowDxfId="14"/>
    <tableColumn id="13" xr3:uid="{2E3CE85C-9618-44EF-94CE-7E467A4911F2}" name="Malaria Revenue (₦)" dataDxfId="13" totalsRowDxfId="12"/>
    <tableColumn id="14" xr3:uid="{0985BD2E-9E85-451F-9EAB-0B23A82305A2}" name="COVID-19 PCR Tests" dataDxfId="11" totalsRowDxfId="10"/>
    <tableColumn id="15" xr3:uid="{F330CF2B-39B7-4BE0-8609-5F9051280542}" name="COVID Revenue (₦)" totalsRowLabel="   Grand Total Revenue_x000a_ per Month    " dataDxfId="9" totalsRowDxfId="8"/>
    <tableColumn id="16" xr3:uid="{0A21FF7B-B763-42CF-AD79-B28C27F06AEF}" name="Total Revenue Per Month (₦)" totalsRowFunction="custom" dataDxfId="7" totalsRowDxfId="6">
      <calculatedColumnFormula>SUM(C5,E5,G5,I5,K5,M5,O5)</calculatedColumnFormula>
      <totalsRowFormula>SUM(P5,P6,P7,P8,P9,P10,P11,P12,P13,P14,P15,P16)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B8E826-5CCE-4705-A6DD-2908030FF032}" name="Table38" displayName="Table38" ref="Q27:R35" totalsRowShown="0">
  <autoFilter ref="Q27:R35" xr:uid="{3DB8E826-5CCE-4705-A6DD-2908030FF032}"/>
  <tableColumns count="2">
    <tableColumn id="1" xr3:uid="{451F34A2-863F-4C77-8D9F-A5D6DC57B55D}" name="Metric" dataDxfId="5"/>
    <tableColumn id="2" xr3:uid="{8D196B93-06F8-4B58-B8C9-DEF3B5016457}" name="Valu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1"/>
  <sheetViews>
    <sheetView tabSelected="1" topLeftCell="A27" zoomScale="47" zoomScaleNormal="59" zoomScaleSheetLayoutView="79" workbookViewId="0">
      <selection activeCell="U18" sqref="U18"/>
    </sheetView>
  </sheetViews>
  <sheetFormatPr defaultColWidth="9.1796875" defaultRowHeight="14.5"/>
  <cols>
    <col min="1" max="1" width="17.81640625" customWidth="1"/>
    <col min="2" max="2" width="21.7265625" customWidth="1"/>
    <col min="3" max="3" width="14" customWidth="1"/>
    <col min="4" max="4" width="14.453125" customWidth="1"/>
    <col min="6" max="6" width="13.26953125" customWidth="1"/>
    <col min="8" max="8" width="12.90625" bestFit="1" customWidth="1"/>
    <col min="9" max="9" width="40.81640625" style="10" customWidth="1"/>
    <col min="12" max="12" width="23.6328125" customWidth="1"/>
    <col min="13" max="13" width="30.08984375" bestFit="1" customWidth="1"/>
  </cols>
  <sheetData>
    <row r="1" spans="1:13" ht="46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40</v>
      </c>
    </row>
    <row r="2" spans="1:13" ht="15.5">
      <c r="A2" s="6" t="s">
        <v>5</v>
      </c>
      <c r="B2" s="6" t="s">
        <v>6</v>
      </c>
      <c r="C2" s="6" t="s">
        <v>7</v>
      </c>
      <c r="D2" s="6">
        <v>120</v>
      </c>
      <c r="E2" s="7">
        <v>60000</v>
      </c>
      <c r="L2" s="9" t="s">
        <v>44</v>
      </c>
      <c r="M2" t="s">
        <v>43</v>
      </c>
    </row>
    <row r="3" spans="1:13" ht="15.5">
      <c r="A3" s="6" t="s">
        <v>8</v>
      </c>
      <c r="B3" s="6" t="s">
        <v>9</v>
      </c>
      <c r="C3" s="6" t="s">
        <v>7</v>
      </c>
      <c r="D3" s="6">
        <v>90</v>
      </c>
      <c r="E3" s="7">
        <v>36000</v>
      </c>
      <c r="H3" s="9" t="s">
        <v>45</v>
      </c>
      <c r="I3" s="10" t="s">
        <v>42</v>
      </c>
      <c r="L3" s="8" t="s">
        <v>8</v>
      </c>
      <c r="M3">
        <v>1210</v>
      </c>
    </row>
    <row r="4" spans="1:13" ht="15.5">
      <c r="A4" s="6" t="s">
        <v>10</v>
      </c>
      <c r="B4" s="6" t="s">
        <v>11</v>
      </c>
      <c r="C4" s="6" t="s">
        <v>7</v>
      </c>
      <c r="D4" s="6">
        <v>75</v>
      </c>
      <c r="E4" s="7">
        <v>33750</v>
      </c>
      <c r="F4" s="42"/>
      <c r="H4" s="8" t="s">
        <v>7</v>
      </c>
      <c r="I4" s="10">
        <v>174750</v>
      </c>
      <c r="L4" s="8" t="s">
        <v>10</v>
      </c>
      <c r="M4">
        <v>1010</v>
      </c>
    </row>
    <row r="5" spans="1:13" ht="15.5">
      <c r="A5" s="6" t="s">
        <v>12</v>
      </c>
      <c r="B5" s="6" t="s">
        <v>13</v>
      </c>
      <c r="C5" s="6" t="s">
        <v>7</v>
      </c>
      <c r="D5" s="6">
        <v>40</v>
      </c>
      <c r="E5" s="7">
        <v>24000</v>
      </c>
      <c r="F5" s="42"/>
      <c r="H5" s="8" t="s">
        <v>16</v>
      </c>
      <c r="I5" s="10">
        <v>127500</v>
      </c>
      <c r="L5" s="8" t="s">
        <v>12</v>
      </c>
      <c r="M5">
        <v>570</v>
      </c>
    </row>
    <row r="6" spans="1:13" ht="15.5">
      <c r="A6" s="6" t="s">
        <v>14</v>
      </c>
      <c r="B6" s="6" t="s">
        <v>15</v>
      </c>
      <c r="C6" s="6" t="s">
        <v>7</v>
      </c>
      <c r="D6" s="6">
        <v>60</v>
      </c>
      <c r="E6" s="7">
        <v>21000</v>
      </c>
      <c r="F6" s="43">
        <f>SUM(E2,E3, E4,E5,E6)</f>
        <v>174750</v>
      </c>
      <c r="H6" s="8" t="s">
        <v>17</v>
      </c>
      <c r="I6" s="10">
        <v>218500</v>
      </c>
      <c r="L6" s="8" t="s">
        <v>5</v>
      </c>
      <c r="M6">
        <v>1730</v>
      </c>
    </row>
    <row r="7" spans="1:13" ht="15.5">
      <c r="A7" s="6" t="s">
        <v>5</v>
      </c>
      <c r="B7" s="6" t="s">
        <v>6</v>
      </c>
      <c r="C7" s="6" t="s">
        <v>16</v>
      </c>
      <c r="D7" s="6">
        <v>140</v>
      </c>
      <c r="E7" s="7">
        <v>70000</v>
      </c>
      <c r="F7" s="42"/>
      <c r="H7" s="8" t="s">
        <v>18</v>
      </c>
      <c r="I7" s="10">
        <v>218500</v>
      </c>
      <c r="L7" s="8" t="s">
        <v>14</v>
      </c>
      <c r="M7">
        <v>865</v>
      </c>
    </row>
    <row r="8" spans="1:13" ht="15.5">
      <c r="A8" s="6" t="s">
        <v>8</v>
      </c>
      <c r="B8" s="6" t="s">
        <v>9</v>
      </c>
      <c r="C8" s="6" t="s">
        <v>16</v>
      </c>
      <c r="D8" s="6">
        <v>100</v>
      </c>
      <c r="E8" s="7">
        <v>40000</v>
      </c>
      <c r="F8" s="42"/>
      <c r="H8" s="8" t="s">
        <v>19</v>
      </c>
      <c r="I8" s="10">
        <v>241500</v>
      </c>
      <c r="L8" s="8" t="s">
        <v>41</v>
      </c>
      <c r="M8">
        <v>5385</v>
      </c>
    </row>
    <row r="9" spans="1:13" ht="15.5">
      <c r="A9" s="6" t="s">
        <v>10</v>
      </c>
      <c r="B9" s="6" t="s">
        <v>11</v>
      </c>
      <c r="C9" s="6" t="s">
        <v>16</v>
      </c>
      <c r="D9" s="6">
        <v>80</v>
      </c>
      <c r="E9" s="7">
        <v>36000</v>
      </c>
      <c r="F9" s="42"/>
      <c r="H9" s="8" t="s">
        <v>20</v>
      </c>
      <c r="I9" s="10">
        <v>255500</v>
      </c>
    </row>
    <row r="10" spans="1:13" ht="15.5">
      <c r="A10" s="6" t="s">
        <v>12</v>
      </c>
      <c r="B10" s="6" t="s">
        <v>13</v>
      </c>
      <c r="C10" s="6" t="s">
        <v>16</v>
      </c>
      <c r="D10" s="6">
        <v>45</v>
      </c>
      <c r="E10" s="7">
        <v>27000</v>
      </c>
      <c r="F10" s="42"/>
      <c r="H10" s="8" t="s">
        <v>21</v>
      </c>
      <c r="I10" s="10">
        <v>223250</v>
      </c>
    </row>
    <row r="11" spans="1:13" ht="15.5">
      <c r="A11" s="6" t="s">
        <v>14</v>
      </c>
      <c r="B11" s="6" t="s">
        <v>15</v>
      </c>
      <c r="C11" s="6" t="s">
        <v>16</v>
      </c>
      <c r="D11" s="6">
        <v>70</v>
      </c>
      <c r="E11" s="7">
        <v>24500</v>
      </c>
      <c r="F11" s="43">
        <f>SUM(E8,E9,E10,E11)</f>
        <v>127500</v>
      </c>
      <c r="H11" s="8" t="s">
        <v>22</v>
      </c>
      <c r="I11" s="10">
        <v>211750</v>
      </c>
    </row>
    <row r="12" spans="1:13" ht="15.5">
      <c r="A12" s="6" t="s">
        <v>5</v>
      </c>
      <c r="B12" s="6" t="s">
        <v>6</v>
      </c>
      <c r="C12" s="6" t="s">
        <v>17</v>
      </c>
      <c r="D12" s="6">
        <v>160</v>
      </c>
      <c r="E12" s="7">
        <v>80000</v>
      </c>
      <c r="F12" s="42"/>
      <c r="H12" s="8" t="s">
        <v>23</v>
      </c>
      <c r="I12" s="10">
        <v>197750</v>
      </c>
    </row>
    <row r="13" spans="1:13" ht="15.5">
      <c r="A13" s="6" t="s">
        <v>8</v>
      </c>
      <c r="B13" s="6" t="s">
        <v>9</v>
      </c>
      <c r="C13" s="6" t="s">
        <v>17</v>
      </c>
      <c r="D13" s="6">
        <v>110</v>
      </c>
      <c r="E13" s="7">
        <v>44000</v>
      </c>
      <c r="F13" s="42"/>
      <c r="H13" s="8" t="s">
        <v>24</v>
      </c>
      <c r="I13" s="10">
        <v>183750</v>
      </c>
    </row>
    <row r="14" spans="1:13" ht="15.5">
      <c r="A14" s="6" t="s">
        <v>10</v>
      </c>
      <c r="B14" s="6" t="s">
        <v>11</v>
      </c>
      <c r="C14" s="6" t="s">
        <v>17</v>
      </c>
      <c r="D14" s="6">
        <v>85</v>
      </c>
      <c r="E14" s="7">
        <v>38250</v>
      </c>
      <c r="F14" s="42"/>
      <c r="H14" s="8" t="s">
        <v>25</v>
      </c>
      <c r="I14" s="10">
        <v>169750</v>
      </c>
    </row>
    <row r="15" spans="1:13" ht="15.5">
      <c r="A15" s="6" t="s">
        <v>12</v>
      </c>
      <c r="B15" s="6" t="s">
        <v>13</v>
      </c>
      <c r="C15" s="6" t="s">
        <v>17</v>
      </c>
      <c r="D15" s="6">
        <v>50</v>
      </c>
      <c r="E15" s="7">
        <v>30000</v>
      </c>
      <c r="F15" s="42"/>
      <c r="H15" s="8" t="s">
        <v>26</v>
      </c>
      <c r="I15" s="10">
        <v>155750</v>
      </c>
    </row>
    <row r="16" spans="1:13" ht="15.5">
      <c r="A16" s="6" t="s">
        <v>14</v>
      </c>
      <c r="B16" s="6" t="s">
        <v>15</v>
      </c>
      <c r="C16" s="6" t="s">
        <v>17</v>
      </c>
      <c r="D16" s="6">
        <v>75</v>
      </c>
      <c r="E16" s="7">
        <v>26250</v>
      </c>
      <c r="F16" s="43">
        <f>SUM(E12,E13,E14,E15,E16)</f>
        <v>218500</v>
      </c>
      <c r="H16" s="8" t="s">
        <v>41</v>
      </c>
      <c r="I16" s="10">
        <v>2378250</v>
      </c>
    </row>
    <row r="17" spans="1:6" ht="15.5">
      <c r="A17" s="6" t="s">
        <v>5</v>
      </c>
      <c r="B17" s="6" t="s">
        <v>6</v>
      </c>
      <c r="C17" s="6" t="s">
        <v>18</v>
      </c>
      <c r="D17" s="6">
        <v>150</v>
      </c>
      <c r="E17" s="7">
        <v>75000</v>
      </c>
      <c r="F17" s="42"/>
    </row>
    <row r="18" spans="1:6" ht="16" customHeight="1">
      <c r="A18" s="6" t="s">
        <v>8</v>
      </c>
      <c r="B18" s="6" t="s">
        <v>9</v>
      </c>
      <c r="C18" s="6" t="s">
        <v>18</v>
      </c>
      <c r="D18" s="6">
        <v>105</v>
      </c>
      <c r="E18" s="7">
        <v>42000</v>
      </c>
      <c r="F18" s="42"/>
    </row>
    <row r="19" spans="1:6" ht="15.5">
      <c r="A19" s="6" t="s">
        <v>10</v>
      </c>
      <c r="B19" s="6" t="s">
        <v>11</v>
      </c>
      <c r="C19" s="6" t="s">
        <v>18</v>
      </c>
      <c r="D19" s="6">
        <v>90</v>
      </c>
      <c r="E19" s="7">
        <v>40500</v>
      </c>
      <c r="F19" s="42"/>
    </row>
    <row r="20" spans="1:6" ht="17" customHeight="1">
      <c r="A20" s="6" t="s">
        <v>12</v>
      </c>
      <c r="B20" s="6" t="s">
        <v>13</v>
      </c>
      <c r="C20" s="6" t="s">
        <v>18</v>
      </c>
      <c r="D20" s="6">
        <v>55</v>
      </c>
      <c r="E20" s="7">
        <v>33000</v>
      </c>
      <c r="F20" s="42"/>
    </row>
    <row r="21" spans="1:6" ht="15.5">
      <c r="A21" s="6" t="s">
        <v>14</v>
      </c>
      <c r="B21" s="6" t="s">
        <v>15</v>
      </c>
      <c r="C21" s="6" t="s">
        <v>18</v>
      </c>
      <c r="D21" s="6">
        <v>80</v>
      </c>
      <c r="E21" s="7">
        <v>28000</v>
      </c>
      <c r="F21" s="43">
        <f>SUM(E17,E19,E18,E20,E21)</f>
        <v>218500</v>
      </c>
    </row>
    <row r="22" spans="1:6" ht="18" customHeight="1">
      <c r="A22" s="6" t="s">
        <v>5</v>
      </c>
      <c r="B22" s="6" t="s">
        <v>6</v>
      </c>
      <c r="C22" s="6" t="s">
        <v>19</v>
      </c>
      <c r="D22" s="6">
        <v>170</v>
      </c>
      <c r="E22" s="7">
        <v>85000</v>
      </c>
      <c r="F22" s="42"/>
    </row>
    <row r="23" spans="1:6" ht="15.5">
      <c r="A23" s="6" t="s">
        <v>8</v>
      </c>
      <c r="B23" s="6" t="s">
        <v>9</v>
      </c>
      <c r="C23" s="6" t="s">
        <v>19</v>
      </c>
      <c r="D23" s="6">
        <v>120</v>
      </c>
      <c r="E23" s="7">
        <v>48000</v>
      </c>
      <c r="F23" s="42"/>
    </row>
    <row r="24" spans="1:6" ht="15" customHeight="1">
      <c r="A24" s="6" t="s">
        <v>10</v>
      </c>
      <c r="B24" s="6" t="s">
        <v>11</v>
      </c>
      <c r="C24" s="6" t="s">
        <v>19</v>
      </c>
      <c r="D24" s="6">
        <v>95</v>
      </c>
      <c r="E24" s="7">
        <v>42750</v>
      </c>
      <c r="F24" s="42"/>
    </row>
    <row r="25" spans="1:6" ht="15.5">
      <c r="A25" s="6" t="s">
        <v>12</v>
      </c>
      <c r="B25" s="6" t="s">
        <v>13</v>
      </c>
      <c r="C25" s="6" t="s">
        <v>19</v>
      </c>
      <c r="D25" s="6">
        <v>60</v>
      </c>
      <c r="E25" s="7">
        <v>36000</v>
      </c>
      <c r="F25" s="42"/>
    </row>
    <row r="26" spans="1:6" ht="16" customHeight="1">
      <c r="A26" s="6" t="s">
        <v>14</v>
      </c>
      <c r="B26" s="6" t="s">
        <v>15</v>
      </c>
      <c r="C26" s="6" t="s">
        <v>19</v>
      </c>
      <c r="D26" s="6">
        <v>85</v>
      </c>
      <c r="E26" s="7">
        <v>29750</v>
      </c>
      <c r="F26" s="43">
        <f>SUM(E22,E23,E24,E25,E26)</f>
        <v>241500</v>
      </c>
    </row>
    <row r="27" spans="1:6" ht="15.5">
      <c r="A27" s="6" t="s">
        <v>5</v>
      </c>
      <c r="B27" s="6" t="s">
        <v>6</v>
      </c>
      <c r="C27" s="6" t="s">
        <v>20</v>
      </c>
      <c r="D27" s="6">
        <v>180</v>
      </c>
      <c r="E27" s="7">
        <v>90000</v>
      </c>
      <c r="F27" s="42"/>
    </row>
    <row r="28" spans="1:6" ht="17" customHeight="1">
      <c r="A28" s="6" t="s">
        <v>8</v>
      </c>
      <c r="B28" s="6" t="s">
        <v>9</v>
      </c>
      <c r="C28" s="6" t="s">
        <v>20</v>
      </c>
      <c r="D28" s="6">
        <v>125</v>
      </c>
      <c r="E28" s="7">
        <v>50000</v>
      </c>
      <c r="F28" s="42"/>
    </row>
    <row r="29" spans="1:6" ht="15.5">
      <c r="A29" s="6" t="s">
        <v>10</v>
      </c>
      <c r="B29" s="6" t="s">
        <v>11</v>
      </c>
      <c r="C29" s="6" t="s">
        <v>20</v>
      </c>
      <c r="D29" s="6">
        <v>100</v>
      </c>
      <c r="E29" s="7">
        <v>45000</v>
      </c>
      <c r="F29" s="42"/>
    </row>
    <row r="30" spans="1:6" ht="14" customHeight="1">
      <c r="A30" s="6" t="s">
        <v>12</v>
      </c>
      <c r="B30" s="6" t="s">
        <v>13</v>
      </c>
      <c r="C30" s="6" t="s">
        <v>20</v>
      </c>
      <c r="D30" s="6">
        <v>65</v>
      </c>
      <c r="E30" s="7">
        <v>39000</v>
      </c>
      <c r="F30" s="42"/>
    </row>
    <row r="31" spans="1:6" ht="15.5">
      <c r="A31" s="6" t="s">
        <v>14</v>
      </c>
      <c r="B31" s="6" t="s">
        <v>15</v>
      </c>
      <c r="C31" s="6" t="s">
        <v>20</v>
      </c>
      <c r="D31" s="6">
        <v>90</v>
      </c>
      <c r="E31" s="7">
        <v>31500</v>
      </c>
      <c r="F31" s="43">
        <f>SUM(E27,E28,E29,E30,E31)</f>
        <v>255500</v>
      </c>
    </row>
    <row r="32" spans="1:6" ht="14" customHeight="1">
      <c r="A32" s="6" t="s">
        <v>5</v>
      </c>
      <c r="B32" s="6" t="s">
        <v>6</v>
      </c>
      <c r="C32" s="6" t="s">
        <v>21</v>
      </c>
      <c r="D32" s="6">
        <v>160</v>
      </c>
      <c r="E32" s="7">
        <v>80000</v>
      </c>
      <c r="F32" s="42"/>
    </row>
    <row r="33" spans="1:6" ht="15.5">
      <c r="A33" s="6" t="s">
        <v>8</v>
      </c>
      <c r="B33" s="6" t="s">
        <v>9</v>
      </c>
      <c r="C33" s="6" t="s">
        <v>21</v>
      </c>
      <c r="D33" s="6">
        <v>110</v>
      </c>
      <c r="E33" s="7">
        <v>44000</v>
      </c>
      <c r="F33" s="42"/>
    </row>
    <row r="34" spans="1:6" ht="20" customHeight="1">
      <c r="A34" s="6" t="s">
        <v>10</v>
      </c>
      <c r="B34" s="6" t="s">
        <v>11</v>
      </c>
      <c r="C34" s="6" t="s">
        <v>21</v>
      </c>
      <c r="D34" s="6">
        <v>85</v>
      </c>
      <c r="E34" s="7">
        <v>38250</v>
      </c>
      <c r="F34" s="42"/>
    </row>
    <row r="35" spans="1:6" ht="15.5">
      <c r="A35" s="6" t="s">
        <v>12</v>
      </c>
      <c r="B35" s="6" t="s">
        <v>13</v>
      </c>
      <c r="C35" s="6" t="s">
        <v>21</v>
      </c>
      <c r="D35" s="6">
        <v>55</v>
      </c>
      <c r="E35" s="7">
        <v>33000</v>
      </c>
      <c r="F35" s="42"/>
    </row>
    <row r="36" spans="1:6" ht="18" customHeight="1">
      <c r="A36" s="6" t="s">
        <v>14</v>
      </c>
      <c r="B36" s="6" t="s">
        <v>15</v>
      </c>
      <c r="C36" s="6" t="s">
        <v>21</v>
      </c>
      <c r="D36" s="6">
        <v>80</v>
      </c>
      <c r="E36" s="7">
        <v>28000</v>
      </c>
      <c r="F36" s="43">
        <f>SUM(E32,E33,E34,E35,E36)</f>
        <v>223250</v>
      </c>
    </row>
    <row r="37" spans="1:6" ht="15.5">
      <c r="A37" s="6" t="s">
        <v>5</v>
      </c>
      <c r="B37" s="6" t="s">
        <v>6</v>
      </c>
      <c r="C37" s="6" t="s">
        <v>22</v>
      </c>
      <c r="D37" s="6">
        <v>150</v>
      </c>
      <c r="E37" s="7">
        <v>75000</v>
      </c>
      <c r="F37" s="42"/>
    </row>
    <row r="38" spans="1:6" ht="17" customHeight="1">
      <c r="A38" s="6" t="s">
        <v>8</v>
      </c>
      <c r="B38" s="6" t="s">
        <v>9</v>
      </c>
      <c r="C38" s="6" t="s">
        <v>22</v>
      </c>
      <c r="D38" s="6">
        <v>100</v>
      </c>
      <c r="E38" s="7">
        <v>40000</v>
      </c>
      <c r="F38" s="42"/>
    </row>
    <row r="39" spans="1:6" ht="15.5">
      <c r="A39" s="6" t="s">
        <v>10</v>
      </c>
      <c r="B39" s="6" t="s">
        <v>11</v>
      </c>
      <c r="C39" s="6" t="s">
        <v>22</v>
      </c>
      <c r="D39" s="6">
        <v>90</v>
      </c>
      <c r="E39" s="7">
        <v>40500</v>
      </c>
      <c r="F39" s="42"/>
    </row>
    <row r="40" spans="1:6" ht="16" customHeight="1">
      <c r="A40" s="6" t="s">
        <v>12</v>
      </c>
      <c r="B40" s="6" t="s">
        <v>13</v>
      </c>
      <c r="C40" s="6" t="s">
        <v>22</v>
      </c>
      <c r="D40" s="6">
        <v>50</v>
      </c>
      <c r="E40" s="7">
        <v>30000</v>
      </c>
      <c r="F40" s="42"/>
    </row>
    <row r="41" spans="1:6" ht="15.5">
      <c r="A41" s="6" t="s">
        <v>14</v>
      </c>
      <c r="B41" s="6" t="s">
        <v>15</v>
      </c>
      <c r="C41" s="6" t="s">
        <v>22</v>
      </c>
      <c r="D41" s="6">
        <v>75</v>
      </c>
      <c r="E41" s="7">
        <v>26250</v>
      </c>
      <c r="F41" s="43">
        <f>SUM(E37,E38,E39,E40,E41)</f>
        <v>211750</v>
      </c>
    </row>
    <row r="42" spans="1:6" ht="19" customHeight="1">
      <c r="A42" s="6" t="s">
        <v>5</v>
      </c>
      <c r="B42" s="6" t="s">
        <v>6</v>
      </c>
      <c r="C42" s="6" t="s">
        <v>23</v>
      </c>
      <c r="D42" s="6">
        <v>140</v>
      </c>
      <c r="E42" s="7">
        <v>70000</v>
      </c>
      <c r="F42" s="42"/>
    </row>
    <row r="43" spans="1:6" ht="15.5">
      <c r="A43" s="6" t="s">
        <v>8</v>
      </c>
      <c r="B43" s="6" t="s">
        <v>9</v>
      </c>
      <c r="C43" s="6" t="s">
        <v>23</v>
      </c>
      <c r="D43" s="6">
        <v>95</v>
      </c>
      <c r="E43" s="7">
        <v>38000</v>
      </c>
      <c r="F43" s="42"/>
    </row>
    <row r="44" spans="1:6" ht="17" customHeight="1">
      <c r="A44" s="6" t="s">
        <v>10</v>
      </c>
      <c r="B44" s="6" t="s">
        <v>11</v>
      </c>
      <c r="C44" s="6" t="s">
        <v>23</v>
      </c>
      <c r="D44" s="6">
        <v>85</v>
      </c>
      <c r="E44" s="7">
        <v>38250</v>
      </c>
      <c r="F44" s="42"/>
    </row>
    <row r="45" spans="1:6" ht="15.5">
      <c r="A45" s="6" t="s">
        <v>12</v>
      </c>
      <c r="B45" s="6" t="s">
        <v>13</v>
      </c>
      <c r="C45" s="6" t="s">
        <v>23</v>
      </c>
      <c r="D45" s="6">
        <v>45</v>
      </c>
      <c r="E45" s="7">
        <v>27000</v>
      </c>
      <c r="F45" s="42"/>
    </row>
    <row r="46" spans="1:6" ht="18" customHeight="1">
      <c r="A46" s="6" t="s">
        <v>14</v>
      </c>
      <c r="B46" s="6" t="s">
        <v>15</v>
      </c>
      <c r="C46" s="6" t="s">
        <v>23</v>
      </c>
      <c r="D46" s="6">
        <v>70</v>
      </c>
      <c r="E46" s="7">
        <v>24500</v>
      </c>
      <c r="F46" s="43">
        <f>SUM(E42,E43,E44,E45,E46)</f>
        <v>197750</v>
      </c>
    </row>
    <row r="47" spans="1:6" ht="15.5">
      <c r="A47" s="6" t="s">
        <v>5</v>
      </c>
      <c r="B47" s="6" t="s">
        <v>6</v>
      </c>
      <c r="C47" s="6" t="s">
        <v>24</v>
      </c>
      <c r="D47" s="6">
        <v>130</v>
      </c>
      <c r="E47" s="7">
        <v>65000</v>
      </c>
      <c r="F47" s="42"/>
    </row>
    <row r="48" spans="1:6" ht="17" customHeight="1">
      <c r="A48" s="6" t="s">
        <v>8</v>
      </c>
      <c r="B48" s="6" t="s">
        <v>9</v>
      </c>
      <c r="C48" s="6" t="s">
        <v>24</v>
      </c>
      <c r="D48" s="6">
        <v>90</v>
      </c>
      <c r="E48" s="7">
        <v>36000</v>
      </c>
      <c r="F48" s="42"/>
    </row>
    <row r="49" spans="1:6" ht="15.5">
      <c r="A49" s="6" t="s">
        <v>10</v>
      </c>
      <c r="B49" s="6" t="s">
        <v>11</v>
      </c>
      <c r="C49" s="6" t="s">
        <v>24</v>
      </c>
      <c r="D49" s="6">
        <v>80</v>
      </c>
      <c r="E49" s="7">
        <v>36000</v>
      </c>
      <c r="F49" s="42"/>
    </row>
    <row r="50" spans="1:6" ht="20" customHeight="1">
      <c r="A50" s="6" t="s">
        <v>12</v>
      </c>
      <c r="B50" s="6" t="s">
        <v>13</v>
      </c>
      <c r="C50" s="6" t="s">
        <v>24</v>
      </c>
      <c r="D50" s="6">
        <v>40</v>
      </c>
      <c r="E50" s="7">
        <v>24000</v>
      </c>
      <c r="F50" s="42"/>
    </row>
    <row r="51" spans="1:6" ht="15.5">
      <c r="A51" s="6" t="s">
        <v>14</v>
      </c>
      <c r="B51" s="6" t="s">
        <v>15</v>
      </c>
      <c r="C51" s="6" t="s">
        <v>24</v>
      </c>
      <c r="D51" s="6">
        <v>65</v>
      </c>
      <c r="E51" s="7">
        <v>22750</v>
      </c>
      <c r="F51" s="43">
        <f>SUM(E47,E48,E49,E50,E51)</f>
        <v>183750</v>
      </c>
    </row>
    <row r="52" spans="1:6" ht="18" customHeight="1">
      <c r="A52" s="6" t="s">
        <v>5</v>
      </c>
      <c r="B52" s="6" t="s">
        <v>6</v>
      </c>
      <c r="C52" s="6" t="s">
        <v>25</v>
      </c>
      <c r="D52" s="6">
        <v>120</v>
      </c>
      <c r="E52" s="7">
        <v>60000</v>
      </c>
      <c r="F52" s="42"/>
    </row>
    <row r="53" spans="1:6" ht="15.5">
      <c r="A53" s="6" t="s">
        <v>8</v>
      </c>
      <c r="B53" s="6" t="s">
        <v>9</v>
      </c>
      <c r="C53" s="6" t="s">
        <v>25</v>
      </c>
      <c r="D53" s="6">
        <v>85</v>
      </c>
      <c r="E53" s="7">
        <v>34000</v>
      </c>
      <c r="F53" s="42"/>
    </row>
    <row r="54" spans="1:6" ht="17" customHeight="1">
      <c r="A54" s="6" t="s">
        <v>10</v>
      </c>
      <c r="B54" s="6" t="s">
        <v>11</v>
      </c>
      <c r="C54" s="6" t="s">
        <v>25</v>
      </c>
      <c r="D54" s="6">
        <v>75</v>
      </c>
      <c r="E54" s="7">
        <v>33750</v>
      </c>
      <c r="F54" s="42"/>
    </row>
    <row r="55" spans="1:6" ht="15.5">
      <c r="A55" s="6" t="s">
        <v>12</v>
      </c>
      <c r="B55" s="6" t="s">
        <v>13</v>
      </c>
      <c r="C55" s="6" t="s">
        <v>25</v>
      </c>
      <c r="D55" s="6">
        <v>35</v>
      </c>
      <c r="E55" s="7">
        <v>21000</v>
      </c>
      <c r="F55" s="42"/>
    </row>
    <row r="56" spans="1:6" ht="17" customHeight="1">
      <c r="A56" s="6" t="s">
        <v>14</v>
      </c>
      <c r="B56" s="6" t="s">
        <v>15</v>
      </c>
      <c r="C56" s="6" t="s">
        <v>25</v>
      </c>
      <c r="D56" s="6">
        <v>60</v>
      </c>
      <c r="E56" s="7">
        <v>21000</v>
      </c>
      <c r="F56" s="43">
        <f>SUM(E52,E53,E54,E55,E56)</f>
        <v>169750</v>
      </c>
    </row>
    <row r="57" spans="1:6" ht="15.5">
      <c r="A57" s="6" t="s">
        <v>5</v>
      </c>
      <c r="B57" s="6" t="s">
        <v>6</v>
      </c>
      <c r="C57" s="6" t="s">
        <v>26</v>
      </c>
      <c r="D57" s="6">
        <v>110</v>
      </c>
      <c r="E57" s="7">
        <v>55000</v>
      </c>
      <c r="F57" s="42"/>
    </row>
    <row r="58" spans="1:6" ht="18" customHeight="1">
      <c r="A58" s="6" t="s">
        <v>8</v>
      </c>
      <c r="B58" s="6" t="s">
        <v>9</v>
      </c>
      <c r="C58" s="6" t="s">
        <v>26</v>
      </c>
      <c r="D58" s="6">
        <v>80</v>
      </c>
      <c r="E58" s="7">
        <v>32000</v>
      </c>
      <c r="F58" s="42"/>
    </row>
    <row r="59" spans="1:6" ht="15.5">
      <c r="A59" s="6" t="s">
        <v>10</v>
      </c>
      <c r="B59" s="6" t="s">
        <v>11</v>
      </c>
      <c r="C59" s="6" t="s">
        <v>26</v>
      </c>
      <c r="D59" s="6">
        <v>70</v>
      </c>
      <c r="E59" s="7">
        <v>31500</v>
      </c>
      <c r="F59" s="42"/>
    </row>
    <row r="60" spans="1:6" ht="16" customHeight="1">
      <c r="A60" s="6" t="s">
        <v>12</v>
      </c>
      <c r="B60" s="6" t="s">
        <v>13</v>
      </c>
      <c r="C60" s="6" t="s">
        <v>26</v>
      </c>
      <c r="D60" s="6">
        <v>30</v>
      </c>
      <c r="E60" s="7">
        <v>18000</v>
      </c>
      <c r="F60" s="42"/>
    </row>
    <row r="61" spans="1:6" ht="15.5">
      <c r="A61" s="6" t="s">
        <v>14</v>
      </c>
      <c r="B61" s="6" t="s">
        <v>15</v>
      </c>
      <c r="C61" s="6" t="s">
        <v>26</v>
      </c>
      <c r="D61" s="6">
        <v>55</v>
      </c>
      <c r="E61" s="7">
        <v>19250</v>
      </c>
      <c r="F61" s="43">
        <f>SUM(E57,E58,E59,E60,E61)</f>
        <v>155750</v>
      </c>
    </row>
  </sheetData>
  <conditionalFormatting sqref="F5:F61">
    <cfRule type="cellIs" dxfId="0" priority="1" operator="greaterThan">
      <formula>100000</formula>
    </cfRule>
  </conditionalFormatting>
  <pageMargins left="0.75" right="0.75" top="1" bottom="1" header="0.5" footer="0.5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7"/>
  <sheetViews>
    <sheetView topLeftCell="F18" zoomScale="54" zoomScaleNormal="50" workbookViewId="0">
      <selection activeCell="S41" sqref="S41"/>
    </sheetView>
  </sheetViews>
  <sheetFormatPr defaultColWidth="9.1796875" defaultRowHeight="14"/>
  <cols>
    <col min="1" max="1" width="31.1796875" style="11" customWidth="1"/>
    <col min="2" max="2" width="10.81640625" style="11" customWidth="1"/>
    <col min="3" max="3" width="19.81640625" style="34" customWidth="1"/>
    <col min="4" max="4" width="32.08984375" style="11" bestFit="1" customWidth="1"/>
    <col min="5" max="5" width="18.7265625" style="34" customWidth="1"/>
    <col min="6" max="6" width="19.36328125" style="11" customWidth="1"/>
    <col min="7" max="7" width="18.7265625" style="35" customWidth="1"/>
    <col min="8" max="8" width="21.1796875" style="11" customWidth="1"/>
    <col min="9" max="9" width="20.453125" style="36" customWidth="1"/>
    <col min="10" max="10" width="15.90625" style="11" customWidth="1"/>
    <col min="11" max="11" width="22.90625" style="35" customWidth="1"/>
    <col min="12" max="12" width="14" style="11" customWidth="1"/>
    <col min="13" max="13" width="21" style="35" customWidth="1"/>
    <col min="14" max="14" width="19.26953125" style="11" customWidth="1"/>
    <col min="15" max="15" width="20.08984375" style="37" customWidth="1"/>
    <col min="16" max="16" width="28.1796875" style="35" customWidth="1"/>
    <col min="17" max="17" width="30.90625" style="11" customWidth="1"/>
    <col min="18" max="18" width="33.26953125" style="11" customWidth="1"/>
    <col min="19" max="16384" width="9.1796875" style="11"/>
  </cols>
  <sheetData>
    <row r="1" spans="1:16" ht="20">
      <c r="B1" s="44" t="s">
        <v>34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6" ht="15">
      <c r="C2" s="45" t="s">
        <v>35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</row>
    <row r="4" spans="1:16" ht="28">
      <c r="A4" s="14" t="s">
        <v>2</v>
      </c>
      <c r="B4" s="14" t="s">
        <v>27</v>
      </c>
      <c r="C4" s="25" t="s">
        <v>51</v>
      </c>
      <c r="D4" s="14" t="s">
        <v>28</v>
      </c>
      <c r="E4" s="25" t="s">
        <v>50</v>
      </c>
      <c r="F4" s="14" t="s">
        <v>29</v>
      </c>
      <c r="G4" s="25" t="s">
        <v>49</v>
      </c>
      <c r="H4" s="14" t="s">
        <v>30</v>
      </c>
      <c r="I4" s="26" t="s">
        <v>48</v>
      </c>
      <c r="J4" s="14" t="s">
        <v>31</v>
      </c>
      <c r="K4" s="26" t="s">
        <v>52</v>
      </c>
      <c r="L4" s="14" t="s">
        <v>32</v>
      </c>
      <c r="M4" s="26" t="s">
        <v>53</v>
      </c>
      <c r="N4" s="14" t="s">
        <v>33</v>
      </c>
      <c r="O4" s="27" t="s">
        <v>54</v>
      </c>
      <c r="P4" s="26" t="s">
        <v>55</v>
      </c>
    </row>
    <row r="5" spans="1:16">
      <c r="A5" s="28">
        <v>45658</v>
      </c>
      <c r="B5" s="29">
        <v>120</v>
      </c>
      <c r="C5" s="30">
        <v>420000</v>
      </c>
      <c r="D5" s="29">
        <v>80</v>
      </c>
      <c r="E5" s="30">
        <v>480000</v>
      </c>
      <c r="F5" s="29">
        <v>50</v>
      </c>
      <c r="G5" s="31">
        <v>250000</v>
      </c>
      <c r="H5" s="29">
        <v>40</v>
      </c>
      <c r="I5" s="32">
        <v>180000</v>
      </c>
      <c r="J5" s="29">
        <v>150</v>
      </c>
      <c r="K5" s="31">
        <v>300000</v>
      </c>
      <c r="L5" s="29">
        <v>200</v>
      </c>
      <c r="M5" s="31">
        <v>300000</v>
      </c>
      <c r="N5" s="29">
        <v>30</v>
      </c>
      <c r="O5" s="33">
        <v>150000</v>
      </c>
      <c r="P5" s="31">
        <f t="shared" ref="P5:P16" si="0">SUM(C5,E5,G5,I5,K5,M5,O5)</f>
        <v>2080000</v>
      </c>
    </row>
    <row r="6" spans="1:16">
      <c r="A6" s="28">
        <v>45689</v>
      </c>
      <c r="B6" s="29">
        <v>100</v>
      </c>
      <c r="C6" s="30">
        <v>350000</v>
      </c>
      <c r="D6" s="29">
        <v>75</v>
      </c>
      <c r="E6" s="30">
        <v>450000</v>
      </c>
      <c r="F6" s="29">
        <v>40</v>
      </c>
      <c r="G6" s="31">
        <v>200000</v>
      </c>
      <c r="H6" s="29">
        <v>35</v>
      </c>
      <c r="I6" s="32">
        <v>160000</v>
      </c>
      <c r="J6" s="29">
        <v>140</v>
      </c>
      <c r="K6" s="31">
        <v>280000</v>
      </c>
      <c r="L6" s="29">
        <v>180</v>
      </c>
      <c r="M6" s="31">
        <v>280000</v>
      </c>
      <c r="N6" s="29">
        <v>24</v>
      </c>
      <c r="O6" s="33">
        <v>120000</v>
      </c>
      <c r="P6" s="31">
        <f>SUM(C6,E6,G6,I6,K6,M6,O6)</f>
        <v>1840000</v>
      </c>
    </row>
    <row r="7" spans="1:16">
      <c r="A7" s="28">
        <v>45717</v>
      </c>
      <c r="B7" s="29">
        <v>110</v>
      </c>
      <c r="C7" s="30">
        <v>380000</v>
      </c>
      <c r="D7" s="29">
        <v>83</v>
      </c>
      <c r="E7" s="30">
        <v>500000</v>
      </c>
      <c r="F7" s="29">
        <v>46</v>
      </c>
      <c r="G7" s="31">
        <v>230000</v>
      </c>
      <c r="H7" s="29">
        <v>38</v>
      </c>
      <c r="I7" s="32">
        <v>170000</v>
      </c>
      <c r="J7" s="29">
        <v>145</v>
      </c>
      <c r="K7" s="31">
        <v>290000</v>
      </c>
      <c r="L7" s="29">
        <v>200</v>
      </c>
      <c r="M7" s="31">
        <v>300000</v>
      </c>
      <c r="N7" s="29">
        <v>30</v>
      </c>
      <c r="O7" s="33">
        <v>150000</v>
      </c>
      <c r="P7" s="31">
        <f t="shared" si="0"/>
        <v>2020000</v>
      </c>
    </row>
    <row r="8" spans="1:16">
      <c r="A8" s="28">
        <v>45748</v>
      </c>
      <c r="B8" s="29">
        <v>115</v>
      </c>
      <c r="C8" s="30">
        <v>400000</v>
      </c>
      <c r="D8" s="29">
        <v>86</v>
      </c>
      <c r="E8" s="30">
        <v>520000</v>
      </c>
      <c r="F8" s="29">
        <v>48</v>
      </c>
      <c r="G8" s="31">
        <v>240000</v>
      </c>
      <c r="H8" s="29">
        <v>40</v>
      </c>
      <c r="I8" s="32">
        <v>180000</v>
      </c>
      <c r="J8" s="29">
        <v>150</v>
      </c>
      <c r="K8" s="31">
        <v>300000</v>
      </c>
      <c r="L8" s="29">
        <v>210</v>
      </c>
      <c r="M8" s="31">
        <v>310000</v>
      </c>
      <c r="N8" s="29">
        <v>32</v>
      </c>
      <c r="O8" s="33">
        <v>160000</v>
      </c>
      <c r="P8" s="31">
        <f t="shared" si="0"/>
        <v>2110000</v>
      </c>
    </row>
    <row r="9" spans="1:16">
      <c r="A9" s="28">
        <v>45778</v>
      </c>
      <c r="B9" s="29">
        <v>120</v>
      </c>
      <c r="C9" s="30">
        <v>420000</v>
      </c>
      <c r="D9" s="29">
        <v>88</v>
      </c>
      <c r="E9" s="30">
        <v>530000</v>
      </c>
      <c r="F9" s="29">
        <v>50</v>
      </c>
      <c r="G9" s="31">
        <v>250000</v>
      </c>
      <c r="H9" s="29">
        <v>42</v>
      </c>
      <c r="I9" s="32">
        <v>190000</v>
      </c>
      <c r="J9" s="29">
        <v>160</v>
      </c>
      <c r="K9" s="31">
        <v>320000</v>
      </c>
      <c r="L9" s="29">
        <v>220</v>
      </c>
      <c r="M9" s="31">
        <v>320000</v>
      </c>
      <c r="N9" s="29">
        <v>36</v>
      </c>
      <c r="O9" s="33">
        <v>180000</v>
      </c>
      <c r="P9" s="31">
        <f t="shared" si="0"/>
        <v>2210000</v>
      </c>
    </row>
    <row r="10" spans="1:16">
      <c r="A10" s="28">
        <v>45809</v>
      </c>
      <c r="B10" s="29">
        <v>130</v>
      </c>
      <c r="C10" s="30">
        <v>450000</v>
      </c>
      <c r="D10" s="29">
        <v>92</v>
      </c>
      <c r="E10" s="30">
        <v>550000</v>
      </c>
      <c r="F10" s="29">
        <v>52</v>
      </c>
      <c r="G10" s="31">
        <v>260000</v>
      </c>
      <c r="H10" s="29">
        <v>45</v>
      </c>
      <c r="I10" s="32">
        <v>200000</v>
      </c>
      <c r="J10" s="29">
        <v>165</v>
      </c>
      <c r="K10" s="31">
        <v>330000</v>
      </c>
      <c r="L10" s="29">
        <v>250</v>
      </c>
      <c r="M10" s="31">
        <v>350000</v>
      </c>
      <c r="N10" s="29">
        <v>40</v>
      </c>
      <c r="O10" s="33">
        <v>200000</v>
      </c>
      <c r="P10" s="31">
        <f t="shared" si="0"/>
        <v>2340000</v>
      </c>
    </row>
    <row r="11" spans="1:16">
      <c r="A11" s="28">
        <v>45839</v>
      </c>
      <c r="B11" s="29">
        <v>135</v>
      </c>
      <c r="C11" s="30">
        <v>470000</v>
      </c>
      <c r="D11" s="29">
        <v>97</v>
      </c>
      <c r="E11" s="30">
        <v>580000</v>
      </c>
      <c r="F11" s="29">
        <v>54</v>
      </c>
      <c r="G11" s="31">
        <v>270000</v>
      </c>
      <c r="H11" s="29">
        <v>47</v>
      </c>
      <c r="I11" s="32">
        <v>210000</v>
      </c>
      <c r="J11" s="29">
        <v>175</v>
      </c>
      <c r="K11" s="31">
        <v>350000</v>
      </c>
      <c r="L11" s="29">
        <v>260</v>
      </c>
      <c r="M11" s="31">
        <v>360000</v>
      </c>
      <c r="N11" s="29">
        <v>44</v>
      </c>
      <c r="O11" s="33">
        <v>220000</v>
      </c>
      <c r="P11" s="31">
        <f t="shared" si="0"/>
        <v>2460000</v>
      </c>
    </row>
    <row r="12" spans="1:16">
      <c r="A12" s="28">
        <v>45870</v>
      </c>
      <c r="B12" s="29">
        <v>132</v>
      </c>
      <c r="C12" s="30">
        <v>460000</v>
      </c>
      <c r="D12" s="29">
        <v>95</v>
      </c>
      <c r="E12" s="30">
        <v>570000</v>
      </c>
      <c r="F12" s="29">
        <v>53</v>
      </c>
      <c r="G12" s="31">
        <v>265000</v>
      </c>
      <c r="H12" s="29">
        <v>46</v>
      </c>
      <c r="I12" s="32">
        <v>205000</v>
      </c>
      <c r="J12" s="29">
        <v>170</v>
      </c>
      <c r="K12" s="31">
        <v>340000</v>
      </c>
      <c r="L12" s="29">
        <v>250</v>
      </c>
      <c r="M12" s="31">
        <v>350000</v>
      </c>
      <c r="N12" s="29">
        <v>42</v>
      </c>
      <c r="O12" s="33">
        <v>210000</v>
      </c>
      <c r="P12" s="31">
        <f t="shared" si="0"/>
        <v>2400000</v>
      </c>
    </row>
    <row r="13" spans="1:16">
      <c r="A13" s="28">
        <v>45901</v>
      </c>
      <c r="B13" s="29">
        <v>125</v>
      </c>
      <c r="C13" s="30">
        <v>440000</v>
      </c>
      <c r="D13" s="29">
        <v>92</v>
      </c>
      <c r="E13" s="30">
        <v>550000</v>
      </c>
      <c r="F13" s="29">
        <v>50</v>
      </c>
      <c r="G13" s="31">
        <v>250000</v>
      </c>
      <c r="H13" s="29">
        <v>42</v>
      </c>
      <c r="I13" s="32">
        <v>190000</v>
      </c>
      <c r="J13" s="29">
        <v>165</v>
      </c>
      <c r="K13" s="31">
        <v>330000</v>
      </c>
      <c r="L13" s="29">
        <v>245</v>
      </c>
      <c r="M13" s="31">
        <v>340000</v>
      </c>
      <c r="N13" s="29">
        <v>40</v>
      </c>
      <c r="O13" s="33">
        <v>200000</v>
      </c>
      <c r="P13" s="31">
        <f t="shared" si="0"/>
        <v>2300000</v>
      </c>
    </row>
    <row r="14" spans="1:16">
      <c r="A14" s="28">
        <v>45931</v>
      </c>
      <c r="B14" s="29">
        <v>122</v>
      </c>
      <c r="C14" s="30">
        <v>430000</v>
      </c>
      <c r="D14" s="29">
        <v>90</v>
      </c>
      <c r="E14" s="30">
        <v>540000</v>
      </c>
      <c r="F14" s="29">
        <v>49</v>
      </c>
      <c r="G14" s="31">
        <v>245000</v>
      </c>
      <c r="H14" s="29">
        <v>41</v>
      </c>
      <c r="I14" s="32">
        <v>185000</v>
      </c>
      <c r="J14" s="29">
        <v>160</v>
      </c>
      <c r="K14" s="31">
        <v>320000</v>
      </c>
      <c r="L14" s="29">
        <v>235</v>
      </c>
      <c r="M14" s="31">
        <v>330000</v>
      </c>
      <c r="N14" s="29">
        <v>38</v>
      </c>
      <c r="O14" s="33">
        <v>190000</v>
      </c>
      <c r="P14" s="31">
        <f t="shared" si="0"/>
        <v>2240000</v>
      </c>
    </row>
    <row r="15" spans="1:16">
      <c r="A15" s="28">
        <v>45962</v>
      </c>
      <c r="B15" s="29">
        <v>120</v>
      </c>
      <c r="C15" s="30">
        <v>420000</v>
      </c>
      <c r="D15" s="29">
        <v>88</v>
      </c>
      <c r="E15" s="30">
        <v>530000</v>
      </c>
      <c r="F15" s="29">
        <v>48</v>
      </c>
      <c r="G15" s="31">
        <v>240000</v>
      </c>
      <c r="H15" s="29">
        <v>40</v>
      </c>
      <c r="I15" s="32">
        <v>180000</v>
      </c>
      <c r="J15" s="29">
        <v>155</v>
      </c>
      <c r="K15" s="31">
        <v>310000</v>
      </c>
      <c r="L15" s="29">
        <v>225</v>
      </c>
      <c r="M15" s="31">
        <v>320000</v>
      </c>
      <c r="N15" s="29">
        <v>36</v>
      </c>
      <c r="O15" s="33">
        <v>180000</v>
      </c>
      <c r="P15" s="31">
        <f t="shared" si="0"/>
        <v>2180000</v>
      </c>
    </row>
    <row r="16" spans="1:16">
      <c r="A16" s="28">
        <v>45992</v>
      </c>
      <c r="B16" s="29">
        <v>130</v>
      </c>
      <c r="C16" s="30">
        <v>450000</v>
      </c>
      <c r="D16" s="29">
        <v>93</v>
      </c>
      <c r="E16" s="30">
        <v>560000</v>
      </c>
      <c r="F16" s="29">
        <v>52</v>
      </c>
      <c r="G16" s="31">
        <v>260000</v>
      </c>
      <c r="H16" s="29">
        <v>45</v>
      </c>
      <c r="I16" s="32">
        <v>200000</v>
      </c>
      <c r="J16" s="29">
        <v>165</v>
      </c>
      <c r="K16" s="31">
        <v>330000</v>
      </c>
      <c r="L16" s="29">
        <v>250</v>
      </c>
      <c r="M16" s="31">
        <v>350000</v>
      </c>
      <c r="N16" s="29">
        <v>42</v>
      </c>
      <c r="O16" s="33">
        <v>210000</v>
      </c>
      <c r="P16" s="31">
        <f t="shared" si="0"/>
        <v>2360000</v>
      </c>
    </row>
    <row r="17" spans="1:18" ht="40.5" customHeight="1">
      <c r="A17" s="28"/>
      <c r="B17" s="29"/>
      <c r="C17" s="30"/>
      <c r="D17" s="29"/>
      <c r="E17" s="30"/>
      <c r="F17" s="29"/>
      <c r="G17" s="31"/>
      <c r="H17" s="29"/>
      <c r="I17" s="32"/>
      <c r="J17" s="29"/>
      <c r="K17" s="31"/>
      <c r="L17" s="29"/>
      <c r="M17" s="31"/>
      <c r="N17" s="29"/>
      <c r="O17" s="41" t="s">
        <v>56</v>
      </c>
      <c r="P17" s="31">
        <f>SUM(P5,P6,P7,P8,P9,P10,P11,P12,P13,P14,P15,P16)</f>
        <v>26540000</v>
      </c>
    </row>
    <row r="18" spans="1:18" ht="28">
      <c r="A18" s="14" t="s">
        <v>47</v>
      </c>
      <c r="B18" s="12">
        <f>SUM(B5,B6,B7,B8,B9,B10,B11,B12,B13,B14,B15,B16)</f>
        <v>1459</v>
      </c>
      <c r="C18" s="20"/>
      <c r="D18" s="12">
        <f>SUM(D5,D6,D7,D8,D9,D10,D11,D12,D13,D14,D15,D16)</f>
        <v>1059</v>
      </c>
      <c r="E18" s="12"/>
      <c r="F18" s="12">
        <f>SUM(F5,F6,F7,F8,F9,F10,F11,F12,F13,F14,F15,F16)</f>
        <v>592</v>
      </c>
      <c r="G18" s="21"/>
      <c r="H18" s="12">
        <f>SUM(H5,H6,H7,H8,H9,H10,H11,H12,H13,H14,H15,H16)</f>
        <v>501</v>
      </c>
      <c r="I18" s="21"/>
      <c r="J18" s="12">
        <f>SUM(J5,J6,J7,J8,J9,J10,J11,J12,J13,J14,J15,J16)</f>
        <v>1900</v>
      </c>
      <c r="K18" s="21"/>
      <c r="L18" s="12">
        <f>SUM(L5,L6,L7,L8,L9,L10,L11,L12,L13,L14,L15,L16)</f>
        <v>2725</v>
      </c>
      <c r="M18" s="21"/>
      <c r="N18" s="12">
        <f>SUM(N5,N6,N7,N8,N9,N10,N11,N12,N13,N14,N15,N16)</f>
        <v>434</v>
      </c>
      <c r="O18" s="40"/>
      <c r="P18" s="12"/>
    </row>
    <row r="19" spans="1:18" ht="39" customHeight="1">
      <c r="A19" s="14"/>
      <c r="B19" s="12"/>
      <c r="C19" s="20"/>
      <c r="D19" s="12"/>
      <c r="E19" s="21"/>
      <c r="F19" s="12"/>
      <c r="G19" s="21"/>
      <c r="H19" s="12"/>
      <c r="I19" s="21"/>
      <c r="J19" s="12"/>
      <c r="K19" s="21"/>
      <c r="L19" s="12"/>
      <c r="M19" s="21"/>
      <c r="N19" s="12"/>
      <c r="O19" s="27" t="s">
        <v>63</v>
      </c>
      <c r="P19" s="12">
        <f>SUM(B18, D18, F18, H18, J18, L18, N18)</f>
        <v>8670</v>
      </c>
    </row>
    <row r="20" spans="1:18" s="12" customFormat="1">
      <c r="A20" s="11"/>
      <c r="B20" s="11"/>
      <c r="C20" s="38"/>
      <c r="D20" s="11"/>
      <c r="E20" s="38"/>
      <c r="F20" s="11"/>
      <c r="G20" s="35"/>
      <c r="H20" s="11"/>
      <c r="I20" s="35"/>
      <c r="J20" s="11"/>
      <c r="K20" s="35"/>
      <c r="L20" s="11"/>
      <c r="M20" s="35"/>
      <c r="N20" s="11"/>
      <c r="O20" s="37"/>
      <c r="P20" s="35"/>
    </row>
    <row r="21" spans="1:18" s="12" customFormat="1">
      <c r="A21" s="11"/>
      <c r="B21" s="11"/>
      <c r="C21" s="38"/>
      <c r="D21" s="11"/>
      <c r="E21" s="38"/>
      <c r="F21" s="11"/>
      <c r="G21" s="35"/>
      <c r="H21" s="11"/>
      <c r="I21" s="35"/>
      <c r="J21" s="11"/>
      <c r="K21" s="35"/>
      <c r="L21" s="11"/>
      <c r="M21" s="35"/>
      <c r="N21" s="11"/>
      <c r="O21" s="37"/>
      <c r="P21" s="11"/>
    </row>
    <row r="22" spans="1:18">
      <c r="A22" s="12" t="s">
        <v>46</v>
      </c>
      <c r="B22" s="12"/>
      <c r="C22" s="23">
        <f>SUM(C5,C6,C7,C8,C9,C10,C11,C12,C13,C14,C15,C16)</f>
        <v>5090000</v>
      </c>
      <c r="D22" s="13"/>
      <c r="E22" s="23">
        <f>SUM(E5,E6,E7,E8,E9,E10,E11,E12,E13,E14,E15,E16)</f>
        <v>6360000</v>
      </c>
      <c r="F22" s="39"/>
      <c r="G22" s="15">
        <f>SUM(G5,G6,G7,G8,G9,G10,G11,G12,G13,G14,G15,G16)</f>
        <v>2960000</v>
      </c>
      <c r="H22" s="39"/>
      <c r="I22" s="15">
        <f>SUM(I5,I6,I7,I8,I9,I10,I11,I12,I13,I14,I15,I16)</f>
        <v>2250000</v>
      </c>
      <c r="J22" s="39"/>
      <c r="K22" s="15">
        <f>SUM(K5,K6,K7,K8,K9,K10,K11,K12,K13,K14,K15,K16)</f>
        <v>3800000</v>
      </c>
      <c r="L22" s="39"/>
      <c r="M22" s="15">
        <f>SUM(M5,M6,M7,M8,M9,M10,M11,M12,M13,M14,M15,M16)</f>
        <v>3910000</v>
      </c>
      <c r="N22" s="15"/>
      <c r="O22" s="15">
        <f>SUM(O5,O6,O7,O8,O9,O10,O11,O12,O13,O14,O15,O16)</f>
        <v>2170000</v>
      </c>
      <c r="P22" s="15"/>
    </row>
    <row r="23" spans="1:18" ht="56">
      <c r="A23" s="12"/>
      <c r="B23" s="12"/>
      <c r="C23" s="23"/>
      <c r="D23" s="13"/>
      <c r="E23" s="23"/>
      <c r="F23" s="39"/>
      <c r="G23" s="15"/>
      <c r="H23" s="39"/>
      <c r="I23" s="15"/>
      <c r="J23" s="39"/>
      <c r="K23" s="15"/>
      <c r="L23" s="39"/>
      <c r="M23" s="15"/>
      <c r="N23" s="39"/>
      <c r="O23" s="27" t="s">
        <v>64</v>
      </c>
      <c r="P23" s="15">
        <f>SUM(C22, E22, G22, I22, K22, M22, O22)</f>
        <v>26540000</v>
      </c>
    </row>
    <row r="24" spans="1:18">
      <c r="A24" s="12"/>
      <c r="B24" s="12"/>
      <c r="C24" s="23"/>
      <c r="D24" s="13"/>
      <c r="E24" s="23"/>
      <c r="F24" s="39"/>
      <c r="G24" s="15"/>
      <c r="H24" s="39"/>
      <c r="I24" s="15"/>
      <c r="J24" s="39"/>
      <c r="K24" s="15"/>
      <c r="L24" s="39"/>
      <c r="M24" s="15"/>
      <c r="N24" s="39"/>
      <c r="O24" s="24"/>
      <c r="P24" s="15"/>
    </row>
    <row r="25" spans="1:18">
      <c r="E25" s="38"/>
    </row>
    <row r="27" spans="1:18" ht="15.5">
      <c r="Q27" s="2" t="s">
        <v>37</v>
      </c>
      <c r="R27" s="3" t="s">
        <v>38</v>
      </c>
    </row>
    <row r="28" spans="1:18" ht="14.5">
      <c r="Q28" s="1" t="s">
        <v>36</v>
      </c>
      <c r="R28" s="22">
        <f>P23</f>
        <v>26540000</v>
      </c>
    </row>
    <row r="29" spans="1:18" ht="14.5">
      <c r="Q29" s="1" t="s">
        <v>39</v>
      </c>
      <c r="R29" s="4">
        <f>P19</f>
        <v>8670</v>
      </c>
    </row>
    <row r="30" spans="1:18" ht="14.5">
      <c r="C30"/>
      <c r="D30"/>
      <c r="Q30" s="1" t="s">
        <v>57</v>
      </c>
      <c r="R30" s="18">
        <f>MAX(P5:P16)</f>
        <v>2460000</v>
      </c>
    </row>
    <row r="31" spans="1:18" ht="14.5">
      <c r="C31"/>
      <c r="D31"/>
      <c r="Q31" s="1" t="s">
        <v>58</v>
      </c>
      <c r="R31" s="16">
        <f>MAX(C22, E22, G22, I22, K22, M22, O22)</f>
        <v>6360000</v>
      </c>
    </row>
    <row r="32" spans="1:18" ht="14.5">
      <c r="C32"/>
      <c r="D32"/>
      <c r="Q32" s="1" t="s">
        <v>59</v>
      </c>
      <c r="R32" s="18">
        <f>MIN(P5:P16)</f>
        <v>1840000</v>
      </c>
    </row>
    <row r="33" spans="3:18" ht="14.5">
      <c r="C33"/>
      <c r="D33"/>
      <c r="Q33" s="1" t="s">
        <v>60</v>
      </c>
      <c r="R33" s="17">
        <f>MIN(C22, E22, G22, I22, K22, M22, O22)</f>
        <v>2170000</v>
      </c>
    </row>
    <row r="34" spans="3:18" ht="14.5">
      <c r="C34"/>
      <c r="D34"/>
      <c r="Q34" s="1" t="s">
        <v>61</v>
      </c>
      <c r="R34" s="19">
        <f>MAX(B18, D18, F18, H18, J18, L18, N18)</f>
        <v>2725</v>
      </c>
    </row>
    <row r="35" spans="3:18" ht="14.5">
      <c r="C35"/>
      <c r="D35"/>
      <c r="Q35" s="1" t="s">
        <v>62</v>
      </c>
      <c r="R35" s="19">
        <f>MIN(B18, D18, F18, H18, J18, L18, N18)</f>
        <v>434</v>
      </c>
    </row>
    <row r="36" spans="3:18" ht="14.5">
      <c r="C36"/>
      <c r="D36"/>
    </row>
    <row r="37" spans="3:18" ht="14.5">
      <c r="C37"/>
      <c r="D37"/>
    </row>
    <row r="38" spans="3:18" ht="14.5">
      <c r="C38"/>
      <c r="D38"/>
    </row>
    <row r="39" spans="3:18" ht="14.5">
      <c r="C39"/>
      <c r="D39"/>
      <c r="H39" s="36"/>
      <c r="I39" s="11"/>
      <c r="J39" s="35"/>
      <c r="K39" s="11"/>
      <c r="L39" s="35"/>
      <c r="M39" s="11"/>
      <c r="N39" s="37"/>
      <c r="O39" s="35"/>
      <c r="P39" s="11"/>
    </row>
    <row r="40" spans="3:18" ht="14.5">
      <c r="C40"/>
      <c r="D40"/>
      <c r="H40" s="36"/>
      <c r="I40" s="11"/>
      <c r="J40" s="35"/>
      <c r="K40" s="11"/>
      <c r="L40" s="35"/>
      <c r="M40" s="11"/>
      <c r="N40" s="37"/>
      <c r="O40" s="35"/>
      <c r="P40" s="11"/>
    </row>
    <row r="41" spans="3:18" ht="14.5">
      <c r="C41"/>
      <c r="D41"/>
    </row>
    <row r="42" spans="3:18" ht="14.5">
      <c r="C42"/>
      <c r="D42"/>
    </row>
    <row r="43" spans="3:18" ht="14.5">
      <c r="C43"/>
      <c r="D43"/>
    </row>
    <row r="44" spans="3:18" ht="14.5">
      <c r="C44"/>
      <c r="D44"/>
    </row>
    <row r="45" spans="3:18" ht="14.5">
      <c r="C45"/>
      <c r="D45"/>
    </row>
    <row r="46" spans="3:18" ht="14.5">
      <c r="C46"/>
      <c r="D46"/>
    </row>
    <row r="47" spans="3:18" ht="14.5">
      <c r="C47"/>
      <c r="D47"/>
    </row>
    <row r="48" spans="3:18" ht="14.5">
      <c r="C48"/>
      <c r="D48"/>
    </row>
    <row r="49" spans="3:4" ht="14.5">
      <c r="C49"/>
      <c r="D49"/>
    </row>
    <row r="50" spans="3:4" ht="14.5">
      <c r="C50"/>
      <c r="D50"/>
    </row>
    <row r="51" spans="3:4" ht="14.5">
      <c r="C51"/>
      <c r="D51"/>
    </row>
    <row r="52" spans="3:4" ht="14.5">
      <c r="C52"/>
      <c r="D52"/>
    </row>
    <row r="53" spans="3:4" ht="14.5">
      <c r="C53"/>
      <c r="D53"/>
    </row>
    <row r="54" spans="3:4" ht="14.5">
      <c r="C54"/>
      <c r="D54"/>
    </row>
    <row r="55" spans="3:4" ht="14.5">
      <c r="C55"/>
      <c r="D55"/>
    </row>
    <row r="56" spans="3:4" ht="14.5">
      <c r="C56"/>
      <c r="D56"/>
    </row>
    <row r="57" spans="3:4" ht="14.5">
      <c r="C57"/>
      <c r="D57"/>
    </row>
    <row r="58" spans="3:4" ht="14.5">
      <c r="C58"/>
      <c r="D58"/>
    </row>
    <row r="59" spans="3:4" ht="14.5">
      <c r="C59"/>
      <c r="D59"/>
    </row>
    <row r="60" spans="3:4" ht="14.5">
      <c r="C60"/>
      <c r="D60"/>
    </row>
    <row r="61" spans="3:4" ht="14.5">
      <c r="C61"/>
      <c r="D61"/>
    </row>
    <row r="62" spans="3:4" ht="14.5">
      <c r="C62"/>
      <c r="D62"/>
    </row>
    <row r="63" spans="3:4" ht="14.5">
      <c r="C63"/>
      <c r="D63"/>
    </row>
    <row r="64" spans="3:4" ht="14.5">
      <c r="C64"/>
      <c r="D64"/>
    </row>
    <row r="65" spans="3:4" ht="14.5">
      <c r="C65"/>
      <c r="D65"/>
    </row>
    <row r="66" spans="3:4" ht="14.5">
      <c r="C66"/>
      <c r="D66"/>
    </row>
    <row r="67" spans="3:4" ht="14.5">
      <c r="C67"/>
      <c r="D67"/>
    </row>
  </sheetData>
  <mergeCells count="2">
    <mergeCell ref="B1:P1"/>
    <mergeCell ref="C2:P2"/>
  </mergeCells>
  <pageMargins left="0.75" right="0.75" top="1" bottom="1" header="0.5" footer="0.5"/>
  <pageSetup paperSize="9" orientation="portrait" r:id="rId1"/>
  <drawing r:id="rId2"/>
  <tableParts count="3">
    <tablePart r:id="rId3"/>
    <tablePart r:id="rId4"/>
    <tablePart r:id="rId5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54484F0-4C6B-40F4-BF6B-07029FDD583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Sheet3!E30:E42</xm:f>
              <xm:sqref>G40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chukwuemeka Eneonyia</cp:lastModifiedBy>
  <cp:lastPrinted>2025-05-08T21:57:00Z</cp:lastPrinted>
  <dcterms:created xsi:type="dcterms:W3CDTF">2025-05-08T19:51:00Z</dcterms:created>
  <dcterms:modified xsi:type="dcterms:W3CDTF">2026-04-10T22:16:45Z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F44EDE481EEA471C93FD36161E71E68D_12</vt:lpwstr>
  </property>
  <property fmtid="{D5CDD505-2E9C-101B-9397-08002B2CF9AE}" pid="3" name="KSOProductBuildVer">
    <vt:lpwstr>1033-12.2.0.23196</vt:lpwstr>
  </property>
</Properties>
</file>