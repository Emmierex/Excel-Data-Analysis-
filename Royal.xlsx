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CAD2B7D-F325-4031-B765-83028DFCC3AC}" xr6:coauthVersionLast="47" xr6:coauthVersionMax="47" xr10:uidLastSave="{00000000-0000-0000-0000-000000000000}"/>
  <bookViews>
    <workbookView xWindow="-110" yWindow="-110" windowWidth="19420" windowHeight="10560" xr2:uid="{A6940EE5-790E-4DC3-9E20-CFC38BEE3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9" i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O23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O24" i="1" l="1"/>
  <c r="O27" i="1"/>
  <c r="O19" i="1"/>
  <c r="O21" i="1"/>
  <c r="O25" i="1"/>
  <c r="O26" i="1"/>
  <c r="O20" i="1"/>
  <c r="O22" i="1"/>
</calcChain>
</file>

<file path=xl/sharedStrings.xml><?xml version="1.0" encoding="utf-8"?>
<sst xmlns="http://schemas.openxmlformats.org/spreadsheetml/2006/main" count="243" uniqueCount="187">
  <si>
    <t>S/N</t>
  </si>
  <si>
    <t>SURNAME</t>
  </si>
  <si>
    <t>1ST NAME</t>
  </si>
  <si>
    <t>INT</t>
  </si>
  <si>
    <t>REG. NO.</t>
  </si>
  <si>
    <t>CA 30/40%</t>
  </si>
  <si>
    <t>EXAM 70/60%</t>
  </si>
  <si>
    <t>TOTAL 100%</t>
  </si>
  <si>
    <t>GRADE</t>
  </si>
  <si>
    <t>NAME OF STUDENT</t>
  </si>
  <si>
    <t>F</t>
  </si>
  <si>
    <t>M</t>
  </si>
  <si>
    <t xml:space="preserve">            *GRADE: A=100%-75%, AB=74%-70%, B=69%-65%, BC=64%-60%, C=59%-55%, CD=54%-50%, </t>
  </si>
  <si>
    <t xml:space="preserve">                 D=49%-45%, P=44%-40%, F3=39%-30%, F2=29%-20%, F1=19%-10%, F0=9%-0%</t>
  </si>
  <si>
    <t>SNR24001</t>
  </si>
  <si>
    <t>SNR24002</t>
  </si>
  <si>
    <t>SNR24003</t>
  </si>
  <si>
    <t>SNR24004</t>
  </si>
  <si>
    <t>SNR24005</t>
  </si>
  <si>
    <t>SNR24006</t>
  </si>
  <si>
    <t>SNR24007</t>
  </si>
  <si>
    <t>SNR24008</t>
  </si>
  <si>
    <t>SNR24009</t>
  </si>
  <si>
    <t>SNR24010</t>
  </si>
  <si>
    <t>SNR24011</t>
  </si>
  <si>
    <t>SNR24012</t>
  </si>
  <si>
    <t>SNR24013</t>
  </si>
  <si>
    <t>SNR24014</t>
  </si>
  <si>
    <t>SNR24015</t>
  </si>
  <si>
    <t>SNR24016</t>
  </si>
  <si>
    <t>SNR24017</t>
  </si>
  <si>
    <t>SNR24018</t>
  </si>
  <si>
    <t>SNR24019</t>
  </si>
  <si>
    <t>SNR24020</t>
  </si>
  <si>
    <t>SNR24021</t>
  </si>
  <si>
    <t>SNR24022</t>
  </si>
  <si>
    <t>SNR24023</t>
  </si>
  <si>
    <t>SNR24024</t>
  </si>
  <si>
    <t>SNR24025</t>
  </si>
  <si>
    <t>SNR24026</t>
  </si>
  <si>
    <t>SNR24027</t>
  </si>
  <si>
    <t>SNR24028</t>
  </si>
  <si>
    <t>SNR24029</t>
  </si>
  <si>
    <t>SNR24030</t>
  </si>
  <si>
    <t>SNR24031</t>
  </si>
  <si>
    <t>SNR24032</t>
  </si>
  <si>
    <t>SNR24033</t>
  </si>
  <si>
    <t>SNR24034</t>
  </si>
  <si>
    <t>SNR24035</t>
  </si>
  <si>
    <t>SNR24036</t>
  </si>
  <si>
    <t>SNR24037</t>
  </si>
  <si>
    <t>SNR24038</t>
  </si>
  <si>
    <t>SNR24039</t>
  </si>
  <si>
    <t>SNR24040</t>
  </si>
  <si>
    <t>SNR24041</t>
  </si>
  <si>
    <t>SNR24042</t>
  </si>
  <si>
    <t>SNR24043</t>
  </si>
  <si>
    <t>SNR24044</t>
  </si>
  <si>
    <t>SNR24045</t>
  </si>
  <si>
    <t>SNR24046</t>
  </si>
  <si>
    <t>SNR24047</t>
  </si>
  <si>
    <t>SNR24048</t>
  </si>
  <si>
    <t>SNR24049</t>
  </si>
  <si>
    <t>SNR24050</t>
  </si>
  <si>
    <t>Abiodun</t>
  </si>
  <si>
    <t>Samuel</t>
  </si>
  <si>
    <t>Adebayo</t>
  </si>
  <si>
    <t>Oluwaseun</t>
  </si>
  <si>
    <t>Adeleke</t>
  </si>
  <si>
    <t>Blessing</t>
  </si>
  <si>
    <t>Adeniyi</t>
  </si>
  <si>
    <t>Tunde</t>
  </si>
  <si>
    <t>Adewale</t>
  </si>
  <si>
    <t>Funke</t>
  </si>
  <si>
    <t>Agboola</t>
  </si>
  <si>
    <t>Segun</t>
  </si>
  <si>
    <t>Agu</t>
  </si>
  <si>
    <t>Chinedu</t>
  </si>
  <si>
    <t>Ajayi</t>
  </si>
  <si>
    <t>Omolara</t>
  </si>
  <si>
    <t>Akande</t>
  </si>
  <si>
    <t>Bukola</t>
  </si>
  <si>
    <t>Akpan</t>
  </si>
  <si>
    <t>Etim</t>
  </si>
  <si>
    <t>Alabi</t>
  </si>
  <si>
    <t>Yinka</t>
  </si>
  <si>
    <t>Amaechi</t>
  </si>
  <si>
    <t>Patience</t>
  </si>
  <si>
    <t>Aminu</t>
  </si>
  <si>
    <t>Sani</t>
  </si>
  <si>
    <t>Ani</t>
  </si>
  <si>
    <t>Ngozi</t>
  </si>
  <si>
    <t>Anozie</t>
  </si>
  <si>
    <t>Emeka</t>
  </si>
  <si>
    <t>Asuquo</t>
  </si>
  <si>
    <t>Effiong</t>
  </si>
  <si>
    <t>Ayodele</t>
  </si>
  <si>
    <t>Kehinde</t>
  </si>
  <si>
    <t>Azubike</t>
  </si>
  <si>
    <t>Ifeoma</t>
  </si>
  <si>
    <t>Babatunde</t>
  </si>
  <si>
    <t>Ayo</t>
  </si>
  <si>
    <t>Bakare</t>
  </si>
  <si>
    <t>Ganiyu</t>
  </si>
  <si>
    <t>Balogun</t>
  </si>
  <si>
    <t>Toyin</t>
  </si>
  <si>
    <t>Bassey</t>
  </si>
  <si>
    <t>Edet</t>
  </si>
  <si>
    <t>Bello</t>
  </si>
  <si>
    <t>Usman</t>
  </si>
  <si>
    <t>Chidiebere</t>
  </si>
  <si>
    <t>Gift</t>
  </si>
  <si>
    <t>Chukwuma</t>
  </si>
  <si>
    <t>Onyeka</t>
  </si>
  <si>
    <t xml:space="preserve">TITLE OF EXAMINATION: ACCOUNTANCY SECOND TERM: DATE OF EXAM: </t>
  </si>
  <si>
    <t xml:space="preserve">ROYAL STAR COLLEGE OF LIGHT  </t>
  </si>
  <si>
    <t>TEACHER SCORE</t>
  </si>
  <si>
    <t>Danjuma</t>
  </si>
  <si>
    <t>Adamu</t>
  </si>
  <si>
    <t>Dare</t>
  </si>
  <si>
    <t>Tolulope</t>
  </si>
  <si>
    <t>Diala</t>
  </si>
  <si>
    <t>Uche</t>
  </si>
  <si>
    <t>Dogara</t>
  </si>
  <si>
    <t>Luka</t>
  </si>
  <si>
    <t>Ebuka</t>
  </si>
  <si>
    <t>Francis</t>
  </si>
  <si>
    <t>Edem</t>
  </si>
  <si>
    <t>Ekaette</t>
  </si>
  <si>
    <t>Idorenyin</t>
  </si>
  <si>
    <t>Egwu</t>
  </si>
  <si>
    <t>Kalu</t>
  </si>
  <si>
    <t>Eke</t>
  </si>
  <si>
    <t>Harrison</t>
  </si>
  <si>
    <t>Ekong</t>
  </si>
  <si>
    <t>Jude</t>
  </si>
  <si>
    <t>Emmanuel</t>
  </si>
  <si>
    <t>Grace</t>
  </si>
  <si>
    <t>Eniola</t>
  </si>
  <si>
    <t>Bisola</t>
  </si>
  <si>
    <t>Eze</t>
  </si>
  <si>
    <t>Ifunanya</t>
  </si>
  <si>
    <t>Fashola</t>
  </si>
  <si>
    <t>Gbolahan</t>
  </si>
  <si>
    <t>Fatimah</t>
  </si>
  <si>
    <t>Zahra</t>
  </si>
  <si>
    <t>Gabriel</t>
  </si>
  <si>
    <t>Faith</t>
  </si>
  <si>
    <t>Gado</t>
  </si>
  <si>
    <t>Ishaya</t>
  </si>
  <si>
    <t>Gambo</t>
  </si>
  <si>
    <t>Isa</t>
  </si>
  <si>
    <t>Garba</t>
  </si>
  <si>
    <t>Sadiq</t>
  </si>
  <si>
    <t>George</t>
  </si>
  <si>
    <t>Victoria</t>
  </si>
  <si>
    <t>Gidado</t>
  </si>
  <si>
    <t>Hassan</t>
  </si>
  <si>
    <t>Umar</t>
  </si>
  <si>
    <t>Hope</t>
  </si>
  <si>
    <t>Ibe</t>
  </si>
  <si>
    <t xml:space="preserve">                                                   SECONDARY SCHOOL </t>
  </si>
  <si>
    <t xml:space="preserve">                                                            CLASS:   SS2</t>
  </si>
  <si>
    <t xml:space="preserve">                                            SECOND SEMESTER 2023/2024 SESSION </t>
  </si>
  <si>
    <t xml:space="preserve"> A</t>
  </si>
  <si>
    <t>AB</t>
  </si>
  <si>
    <t xml:space="preserve">  B</t>
  </si>
  <si>
    <t xml:space="preserve"> BC</t>
  </si>
  <si>
    <t xml:space="preserve"> C</t>
  </si>
  <si>
    <t xml:space="preserve"> CD</t>
  </si>
  <si>
    <t xml:space="preserve"> D</t>
  </si>
  <si>
    <t xml:space="preserve"> P </t>
  </si>
  <si>
    <t xml:space="preserve"> F3 </t>
  </si>
  <si>
    <t xml:space="preserve">Number of Grade </t>
  </si>
  <si>
    <t xml:space="preserve"> Males </t>
  </si>
  <si>
    <t xml:space="preserve"> Females </t>
  </si>
  <si>
    <t>NUMBER OF GRADE</t>
  </si>
  <si>
    <t>Percentage Range</t>
  </si>
  <si>
    <t>75% – 100%</t>
  </si>
  <si>
    <t>70% – 74%</t>
  </si>
  <si>
    <t>65% – 69%</t>
  </si>
  <si>
    <t>60% – 64%</t>
  </si>
  <si>
    <t>55% – 59%</t>
  </si>
  <si>
    <t>50% – 54%</t>
  </si>
  <si>
    <t>45% – 49%</t>
  </si>
  <si>
    <t>40% – 44%</t>
  </si>
  <si>
    <t>30% – 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</si>
</sst>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1" applyNumberFormat="1" applyFont="1"/>
    <xf numFmtId="0" fontId="7" fillId="0" borderId="2" xfId="2" applyFont="1" applyBorder="1" applyAlignment="1" applyProtection="1">
      <alignment horizontal="left" wrapText="1"/>
      <protection locked="0"/>
    </xf>
    <xf numFmtId="9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6" fillId="3" borderId="0" xfId="2" applyFont="1" applyFill="1" applyProtection="1">
      <protection hidden="1"/>
    </xf>
    <xf numFmtId="0" fontId="6" fillId="4" borderId="0" xfId="2" applyFont="1" applyFill="1" applyProtection="1">
      <protection hidden="1"/>
    </xf>
    <xf numFmtId="0" fontId="6" fillId="4" borderId="0" xfId="2" applyFont="1" applyFill="1" applyAlignment="1" applyProtection="1">
      <alignment horizontal="center"/>
      <protection hidden="1"/>
    </xf>
    <xf numFmtId="0" fontId="0" fillId="4" borderId="0" xfId="1" applyNumberFormat="1" applyFont="1" applyFill="1"/>
    <xf numFmtId="0" fontId="4" fillId="0" borderId="0" xfId="1" applyNumberFormat="1" applyFont="1"/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1" applyNumberFormat="1" applyFont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2" fillId="0" borderId="2" xfId="0" applyFont="1" applyBorder="1" applyAlignment="1">
      <alignment vertical="center"/>
    </xf>
    <xf numFmtId="0" fontId="13" fillId="0" borderId="2" xfId="2" applyFont="1" applyBorder="1" applyAlignment="1" applyProtection="1">
      <alignment horizontal="center" vertical="center"/>
      <protection hidden="1"/>
    </xf>
    <xf numFmtId="0" fontId="14" fillId="2" borderId="2" xfId="2" applyFont="1" applyFill="1" applyBorder="1" applyAlignment="1" applyProtection="1">
      <alignment horizontal="center" vertical="center"/>
      <protection hidden="1"/>
    </xf>
    <xf numFmtId="0" fontId="14" fillId="2" borderId="2" xfId="2" applyFont="1" applyFill="1" applyBorder="1" applyAlignment="1" applyProtection="1">
      <alignment horizontal="center" vertical="center" wrapText="1"/>
      <protection hidden="1"/>
    </xf>
    <xf numFmtId="0" fontId="15" fillId="2" borderId="2" xfId="2" applyFont="1" applyFill="1" applyBorder="1" applyAlignment="1" applyProtection="1">
      <alignment horizontal="center" vertical="center" wrapText="1"/>
      <protection hidden="1"/>
    </xf>
    <xf numFmtId="0" fontId="15" fillId="2" borderId="2" xfId="1" applyNumberFormat="1" applyFont="1" applyFill="1" applyBorder="1" applyAlignment="1" applyProtection="1">
      <alignment horizontal="center" vertical="center" wrapText="1"/>
      <protection hidden="1"/>
    </xf>
    <xf numFmtId="0" fontId="15" fillId="2" borderId="2" xfId="2" applyFont="1" applyFill="1" applyBorder="1" applyAlignment="1" applyProtection="1">
      <alignment horizontal="center" vertical="center" textRotation="90"/>
      <protection hidden="1"/>
    </xf>
    <xf numFmtId="0" fontId="11" fillId="0" borderId="6" xfId="0" applyFont="1" applyBorder="1" applyAlignment="1">
      <alignment wrapText="1"/>
    </xf>
    <xf numFmtId="0" fontId="8" fillId="0" borderId="2" xfId="1" applyNumberFormat="1" applyFont="1" applyBorder="1" applyAlignment="1">
      <alignment horizontal="left"/>
    </xf>
    <xf numFmtId="0" fontId="8" fillId="0" borderId="2" xfId="0" applyFont="1" applyBorder="1"/>
    <xf numFmtId="1" fontId="8" fillId="0" borderId="2" xfId="0" applyNumberFormat="1" applyFont="1" applyBorder="1" applyAlignment="1">
      <alignment horizontal="left"/>
    </xf>
    <xf numFmtId="0" fontId="12" fillId="0" borderId="2" xfId="2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3" fillId="0" borderId="3" xfId="2" applyFont="1" applyBorder="1" applyAlignment="1" applyProtection="1">
      <alignment horizontal="center" vertical="center"/>
      <protection hidden="1"/>
    </xf>
    <xf numFmtId="0" fontId="13" fillId="0" borderId="4" xfId="2" applyFont="1" applyBorder="1" applyAlignment="1" applyProtection="1">
      <alignment horizontal="center" vertical="center"/>
      <protection hidden="1"/>
    </xf>
    <xf numFmtId="0" fontId="13" fillId="0" borderId="5" xfId="2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16" fillId="0" borderId="6" xfId="0" applyFont="1" applyBorder="1" applyAlignment="1">
      <alignment wrapText="1"/>
    </xf>
  </cellXfs>
  <cellStyles count="3">
    <cellStyle name="Currency" xfId="1" builtinId="4"/>
    <cellStyle name="Normal" xfId="0" builtinId="0"/>
    <cellStyle name="Normal 2" xfId="2" xr:uid="{1558CFDD-77A2-46B7-8B57-E73A9F6706C8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b="1">
                <a:latin typeface="Times New Roman" panose="02020603050405020304" pitchFamily="18" charset="0"/>
                <a:cs typeface="Times New Roman" panose="02020603050405020304" pitchFamily="18" charset="0"/>
              </a:rPr>
              <a:t>GRADE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Sheet1!$O$18</c:f>
              <c:strCache>
                <c:ptCount val="1"/>
                <c:pt idx="0">
                  <c:v>Number of Grade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Sheet1!$N$19:$N$27</c:f>
              <c:strCache>
                <c:ptCount val="9"/>
                <c:pt idx="0">
                  <c:v> A</c:v>
                </c:pt>
                <c:pt idx="1">
                  <c:v>AB</c:v>
                </c:pt>
                <c:pt idx="2">
                  <c:v>  B</c:v>
                </c:pt>
                <c:pt idx="3">
                  <c:v> BC</c:v>
                </c:pt>
                <c:pt idx="4">
                  <c:v> C</c:v>
                </c:pt>
                <c:pt idx="5">
                  <c:v> CD</c:v>
                </c:pt>
                <c:pt idx="6">
                  <c:v> D</c:v>
                </c:pt>
                <c:pt idx="7">
                  <c:v> P </c:v>
                </c:pt>
                <c:pt idx="8">
                  <c:v> F3 </c:v>
                </c:pt>
              </c:strCache>
            </c:strRef>
          </c:cat>
          <c:val>
            <c:numRef>
              <c:f>Sheet1!$O$19:$O$27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12</c:v>
                </c:pt>
                <c:pt idx="6">
                  <c:v>1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0-4B99-818E-D55068E94693}"/>
            </c:ext>
          </c:extLst>
        </c:ser>
        <c:ser>
          <c:idx val="1"/>
          <c:order val="1"/>
          <c:tx>
            <c:strRef>
              <c:f>Sheet1!$P$18</c:f>
              <c:strCache>
                <c:ptCount val="1"/>
                <c:pt idx="0">
                  <c:v>Percentage Range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Sheet1!$N$19:$N$27</c:f>
              <c:strCache>
                <c:ptCount val="9"/>
                <c:pt idx="0">
                  <c:v> A</c:v>
                </c:pt>
                <c:pt idx="1">
                  <c:v>AB</c:v>
                </c:pt>
                <c:pt idx="2">
                  <c:v>  B</c:v>
                </c:pt>
                <c:pt idx="3">
                  <c:v> BC</c:v>
                </c:pt>
                <c:pt idx="4">
                  <c:v> C</c:v>
                </c:pt>
                <c:pt idx="5">
                  <c:v> CD</c:v>
                </c:pt>
                <c:pt idx="6">
                  <c:v> D</c:v>
                </c:pt>
                <c:pt idx="7">
                  <c:v> P </c:v>
                </c:pt>
                <c:pt idx="8">
                  <c:v> F3 </c:v>
                </c:pt>
              </c:strCache>
            </c:strRef>
          </c:cat>
          <c:val>
            <c:numRef>
              <c:f>Sheet1!$P$19:$P$27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1-47E3-BF4F-8E2A82BD3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290816"/>
        <c:axId val="508291176"/>
      </c:barChart>
      <c:catAx>
        <c:axId val="50829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8291176"/>
        <c:crosses val="autoZero"/>
        <c:auto val="1"/>
        <c:lblAlgn val="ctr"/>
        <c:lblOffset val="100"/>
        <c:noMultiLvlLbl val="0"/>
      </c:catAx>
      <c:valAx>
        <c:axId val="50829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GRADE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829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Sheet1!$O$8</c:f>
              <c:strCache>
                <c:ptCount val="1"/>
                <c:pt idx="0">
                  <c:v>NUMBER OF GRADE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14-4BBF-94F3-98638C7431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14-4BBF-94F3-98638C7431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Sheet1!$N$9:$N$10</c:f>
              <c:strCache>
                <c:ptCount val="2"/>
                <c:pt idx="0">
                  <c:v> Males </c:v>
                </c:pt>
                <c:pt idx="1">
                  <c:v> Females </c:v>
                </c:pt>
              </c:strCache>
            </c:strRef>
          </c:cat>
          <c:val>
            <c:numRef>
              <c:f>Sheet1!$O$9:$O$10</c:f>
              <c:numCache>
                <c:formatCode>General</c:formatCode>
                <c:ptCount val="2"/>
                <c:pt idx="0">
                  <c:v>31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9-40F4-AAB0-27EE8D5E49D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185459</xdr:colOff>
      <xdr:row>17</xdr:row>
      <xdr:rowOff>53201</xdr:rowOff>
    </xdr:from>
    <xdr:to>
      <xdr:col>23</xdr:col>
      <xdr:colOff>117990</xdr:colOff>
      <xdr:row>28</xdr:row>
      <xdr:rowOff>91302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FFB95F-72C8-BD88-0458-AE1858741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559534</xdr:colOff>
      <xdr:row>4</xdr:row>
      <xdr:rowOff>147495</xdr:rowOff>
    </xdr:from>
    <xdr:to>
      <xdr:col>22</xdr:col>
      <xdr:colOff>293626</xdr:colOff>
      <xdr:row>14</xdr:row>
      <xdr:rowOff>143892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77A587-F435-6B9E-66FA-4E8B328A5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75299-36E4-4A42-AFE5-0DAB9CF3F1A8}" name="Table1" displayName="Table1" ref="N18:P27" totalsRowShown="0">
  <autoFilter ref="N18:P27" xr:uid="{96475299-36E4-4A42-AFE5-0DAB9CF3F1A8}"/>
  <tableColumns count="3">
    <tableColumn id="1" xr3:uid="{6D80CB95-D745-42A2-A57B-DFA21F546E24}" name="GRADE" dataDxfId="6"/>
    <tableColumn id="2" xr3:uid="{7F4A3B3A-B44A-4CC1-BF8C-002C77AE1EBB}" name="Number of Grade " dataDxfId="5"/>
    <tableColumn id="3" xr3:uid="{3A86A8FC-D360-4B50-84E4-66B26412ED60}" name="Percentage Rang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A9C757-57C2-489A-B294-C205383D3377}" name="Table2" displayName="Table2" ref="N8:O10" totalsRowShown="0">
  <autoFilter ref="N8:O10" xr:uid="{7AA9C757-57C2-489A-B294-C205383D3377}"/>
  <tableColumns count="2">
    <tableColumn id="1" xr3:uid="{F42ED494-B9C3-4810-90EC-93A4286BC229}" name="GRADE" dataDxfId="4"/>
    <tableColumn id="2" xr3:uid="{CFEA76B7-2343-4F95-9B17-2A7D72DF663D}" name="NUMBER OF GRAD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9DB0-0F61-4CAF-A889-C296826F0C30}">
  <dimension ref="A1:P67"/>
  <sheetViews>
    <sheetView tabSelected="1" topLeftCell="C6" zoomScale="54" zoomScaleNormal="133" workbookViewId="0">
      <selection activeCell="Z22" sqref="Z22"/>
    </sheetView>
  </sheetViews>
  <sheetFormatPr defaultColWidth="9.1796875" defaultRowHeight="14.5" x14ac:dyDescent="0.35"/>
  <cols>
    <col min="1" max="1" width="4" customWidth="1"/>
    <col min="2" max="2" width="16.7265625" customWidth="1"/>
    <col min="3" max="3" width="22.453125" customWidth="1"/>
    <col min="4" max="4" width="6.26953125" style="12" customWidth="1"/>
    <col min="5" max="5" width="15.453125" customWidth="1"/>
    <col min="6" max="6" width="6.1796875" customWidth="1"/>
    <col min="7" max="7" width="6.26953125" customWidth="1"/>
    <col min="8" max="8" width="6.26953125" style="3" customWidth="1"/>
    <col min="9" max="9" width="5.1796875" customWidth="1"/>
    <col min="14" max="14" width="17" customWidth="1"/>
    <col min="15" max="15" width="18.7265625" customWidth="1"/>
    <col min="16" max="16" width="11.08984375" customWidth="1"/>
  </cols>
  <sheetData>
    <row r="1" spans="1:15" ht="20.149999999999999" customHeight="1" x14ac:dyDescent="0.35">
      <c r="A1" s="39" t="s">
        <v>115</v>
      </c>
      <c r="B1" s="39"/>
      <c r="C1" s="39"/>
      <c r="D1" s="39"/>
      <c r="E1" s="39"/>
      <c r="F1" s="39"/>
      <c r="G1" s="39"/>
      <c r="H1" s="39"/>
      <c r="I1" s="39"/>
    </row>
    <row r="2" spans="1:15" ht="20.149999999999999" customHeight="1" x14ac:dyDescent="0.35">
      <c r="A2" s="40" t="s">
        <v>161</v>
      </c>
      <c r="B2" s="40"/>
      <c r="C2" s="40"/>
      <c r="D2" s="40"/>
      <c r="E2" s="40"/>
      <c r="F2" s="40"/>
      <c r="G2" s="40"/>
      <c r="H2" s="40"/>
      <c r="I2" s="40"/>
    </row>
    <row r="3" spans="1:15" ht="20.149999999999999" customHeight="1" x14ac:dyDescent="0.35">
      <c r="A3" s="40" t="s">
        <v>162</v>
      </c>
      <c r="B3" s="40"/>
      <c r="C3" s="40"/>
      <c r="D3" s="40"/>
      <c r="E3" s="40"/>
      <c r="F3" s="40"/>
      <c r="G3" s="40"/>
      <c r="H3" s="40"/>
      <c r="I3" s="40"/>
    </row>
    <row r="4" spans="1:15" ht="20.149999999999999" customHeight="1" x14ac:dyDescent="0.45">
      <c r="B4" s="13" t="s">
        <v>114</v>
      </c>
      <c r="C4" s="13"/>
      <c r="D4" s="14"/>
      <c r="E4" s="13"/>
      <c r="F4" s="13"/>
      <c r="G4" s="15"/>
      <c r="H4" s="16"/>
      <c r="I4" s="15"/>
    </row>
    <row r="5" spans="1:15" ht="20.149999999999999" customHeight="1" x14ac:dyDescent="0.45">
      <c r="A5" s="17" t="s">
        <v>163</v>
      </c>
      <c r="B5" s="17"/>
      <c r="C5" s="17"/>
      <c r="D5" s="18"/>
      <c r="E5" s="17"/>
      <c r="F5" s="14"/>
      <c r="G5" s="15"/>
      <c r="H5" s="16"/>
      <c r="I5" s="15"/>
    </row>
    <row r="6" spans="1:15" ht="20" customHeight="1" x14ac:dyDescent="0.35">
      <c r="A6" s="19"/>
      <c r="B6" s="33" t="s">
        <v>9</v>
      </c>
      <c r="C6" s="34"/>
      <c r="D6" s="35"/>
      <c r="E6" s="20"/>
      <c r="F6" s="36" t="s">
        <v>116</v>
      </c>
      <c r="G6" s="37"/>
      <c r="H6" s="37"/>
      <c r="I6" s="38"/>
    </row>
    <row r="7" spans="1:15" ht="40.5" thickBot="1" x14ac:dyDescent="0.4">
      <c r="A7" s="21" t="s">
        <v>0</v>
      </c>
      <c r="B7" s="22" t="s">
        <v>1</v>
      </c>
      <c r="C7" s="22" t="s">
        <v>2</v>
      </c>
      <c r="D7" s="21" t="s">
        <v>3</v>
      </c>
      <c r="E7" s="21" t="s">
        <v>4</v>
      </c>
      <c r="F7" s="23" t="s">
        <v>5</v>
      </c>
      <c r="G7" s="23" t="s">
        <v>6</v>
      </c>
      <c r="H7" s="24" t="s">
        <v>7</v>
      </c>
      <c r="I7" s="25" t="s">
        <v>8</v>
      </c>
    </row>
    <row r="8" spans="1:15" ht="18" customHeight="1" thickBot="1" x14ac:dyDescent="0.4">
      <c r="A8" s="4">
        <v>1</v>
      </c>
      <c r="B8" s="26" t="s">
        <v>64</v>
      </c>
      <c r="C8" s="26" t="s">
        <v>65</v>
      </c>
      <c r="D8" s="26" t="s">
        <v>11</v>
      </c>
      <c r="E8" s="5" t="s">
        <v>14</v>
      </c>
      <c r="F8" s="6">
        <v>27</v>
      </c>
      <c r="G8" s="6">
        <v>25</v>
      </c>
      <c r="H8" s="27">
        <f>(F8+G8)</f>
        <v>52</v>
      </c>
      <c r="I8" s="28" t="str">
        <f>IF(H8&gt;=75,"A",IF(H8&gt;=70,"AB",IF(H8&gt;=65,"B",IF(H8&gt;=60,"BC",IF(H8&gt;=55,"C",IF(H8&gt;=50,"CD",IF(H8&gt;=45,"D",IF(H8&gt;=40,"P",IF(H8&gt;=30,"F3",IF(H8&gt;=20,"F2",IF(H8&gt;=10,"F1","F0")))))))))))</f>
        <v>CD</v>
      </c>
      <c r="N8" s="12" t="s">
        <v>8</v>
      </c>
      <c r="O8" s="32" t="s">
        <v>176</v>
      </c>
    </row>
    <row r="9" spans="1:15" ht="18" customHeight="1" thickBot="1" x14ac:dyDescent="0.4">
      <c r="A9" s="4">
        <v>2</v>
      </c>
      <c r="B9" s="26" t="s">
        <v>66</v>
      </c>
      <c r="C9" s="26" t="s">
        <v>67</v>
      </c>
      <c r="D9" s="26" t="s">
        <v>11</v>
      </c>
      <c r="E9" s="5" t="s">
        <v>15</v>
      </c>
      <c r="F9" s="6">
        <v>28</v>
      </c>
      <c r="G9" s="6">
        <v>13</v>
      </c>
      <c r="H9" s="27">
        <f t="shared" ref="H9:H32" si="0">(F9+G9)</f>
        <v>41</v>
      </c>
      <c r="I9" s="28" t="str">
        <f t="shared" ref="I9:I32" si="1">IF(H9&gt;=75,"A",IF(H9&gt;=70,"AB",IF(H9&gt;=65,"B",IF(H9&gt;=60,"BC",IF(H9&gt;=55,"C",IF(H9&gt;=50,"CD",IF(H9&gt;=45,"D",IF(H9&gt;=40,"P",IF(H9&gt;=30,"F3",IF(H9&gt;=20,"F2",IF(H9&gt;=10,"F1","F0")))))))))))</f>
        <v>P</v>
      </c>
      <c r="N9" s="12" t="s">
        <v>174</v>
      </c>
      <c r="O9" s="12">
        <f>COUNTIF(D8:D57, "M")</f>
        <v>31</v>
      </c>
    </row>
    <row r="10" spans="1:15" ht="18" customHeight="1" thickBot="1" x14ac:dyDescent="0.4">
      <c r="A10" s="4">
        <v>3</v>
      </c>
      <c r="B10" s="26" t="s">
        <v>68</v>
      </c>
      <c r="C10" s="26" t="s">
        <v>69</v>
      </c>
      <c r="D10" s="26" t="s">
        <v>10</v>
      </c>
      <c r="E10" s="5" t="s">
        <v>16</v>
      </c>
      <c r="F10" s="6">
        <v>28</v>
      </c>
      <c r="G10" s="6">
        <v>12</v>
      </c>
      <c r="H10" s="27">
        <f t="shared" si="0"/>
        <v>40</v>
      </c>
      <c r="I10" s="28" t="str">
        <f t="shared" si="1"/>
        <v>P</v>
      </c>
      <c r="N10" s="12" t="s">
        <v>175</v>
      </c>
      <c r="O10" s="12">
        <f>COUNTIF(D8:D57, "F")</f>
        <v>19</v>
      </c>
    </row>
    <row r="11" spans="1:15" ht="18" customHeight="1" thickBot="1" x14ac:dyDescent="0.4">
      <c r="A11" s="4">
        <v>4</v>
      </c>
      <c r="B11" s="26" t="s">
        <v>70</v>
      </c>
      <c r="C11" s="26" t="s">
        <v>71</v>
      </c>
      <c r="D11" s="26" t="s">
        <v>11</v>
      </c>
      <c r="E11" s="5" t="s">
        <v>17</v>
      </c>
      <c r="F11" s="6">
        <v>28</v>
      </c>
      <c r="G11" s="6">
        <v>16</v>
      </c>
      <c r="H11" s="27">
        <f t="shared" si="0"/>
        <v>44</v>
      </c>
      <c r="I11" s="28" t="str">
        <f t="shared" si="1"/>
        <v>P</v>
      </c>
    </row>
    <row r="12" spans="1:15" ht="18" customHeight="1" thickBot="1" x14ac:dyDescent="0.4">
      <c r="A12" s="4">
        <v>5</v>
      </c>
      <c r="B12" s="26" t="s">
        <v>72</v>
      </c>
      <c r="C12" s="26" t="s">
        <v>73</v>
      </c>
      <c r="D12" s="26" t="s">
        <v>10</v>
      </c>
      <c r="E12" s="5" t="s">
        <v>18</v>
      </c>
      <c r="F12" s="6">
        <v>28</v>
      </c>
      <c r="G12" s="6">
        <v>36</v>
      </c>
      <c r="H12" s="27">
        <f t="shared" si="0"/>
        <v>64</v>
      </c>
      <c r="I12" s="28" t="str">
        <f t="shared" si="1"/>
        <v>BC</v>
      </c>
    </row>
    <row r="13" spans="1:15" ht="18" customHeight="1" thickBot="1" x14ac:dyDescent="0.4">
      <c r="A13" s="4">
        <v>6</v>
      </c>
      <c r="B13" s="26" t="s">
        <v>74</v>
      </c>
      <c r="C13" s="26" t="s">
        <v>75</v>
      </c>
      <c r="D13" s="26" t="s">
        <v>11</v>
      </c>
      <c r="E13" s="5" t="s">
        <v>19</v>
      </c>
      <c r="F13" s="6">
        <v>28</v>
      </c>
      <c r="G13" s="6">
        <v>22</v>
      </c>
      <c r="H13" s="27">
        <f t="shared" si="0"/>
        <v>50</v>
      </c>
      <c r="I13" s="28" t="str">
        <f t="shared" si="1"/>
        <v>CD</v>
      </c>
    </row>
    <row r="14" spans="1:15" ht="18" customHeight="1" thickBot="1" x14ac:dyDescent="0.4">
      <c r="A14" s="4">
        <v>7</v>
      </c>
      <c r="B14" s="26" t="s">
        <v>76</v>
      </c>
      <c r="C14" s="26" t="s">
        <v>77</v>
      </c>
      <c r="D14" s="26" t="s">
        <v>11</v>
      </c>
      <c r="E14" s="5" t="s">
        <v>20</v>
      </c>
      <c r="F14" s="6">
        <v>25</v>
      </c>
      <c r="G14" s="6">
        <v>39</v>
      </c>
      <c r="H14" s="27">
        <f t="shared" si="0"/>
        <v>64</v>
      </c>
      <c r="I14" s="28" t="str">
        <f t="shared" si="1"/>
        <v>BC</v>
      </c>
    </row>
    <row r="15" spans="1:15" ht="18" customHeight="1" thickBot="1" x14ac:dyDescent="0.4">
      <c r="A15" s="4">
        <v>8</v>
      </c>
      <c r="B15" s="26" t="s">
        <v>78</v>
      </c>
      <c r="C15" s="26" t="s">
        <v>79</v>
      </c>
      <c r="D15" s="26" t="s">
        <v>10</v>
      </c>
      <c r="E15" s="5" t="s">
        <v>21</v>
      </c>
      <c r="F15" s="6">
        <v>25</v>
      </c>
      <c r="G15" s="6">
        <v>16</v>
      </c>
      <c r="H15" s="27">
        <f t="shared" si="0"/>
        <v>41</v>
      </c>
      <c r="I15" s="28" t="str">
        <f t="shared" si="1"/>
        <v>P</v>
      </c>
    </row>
    <row r="16" spans="1:15" ht="18" customHeight="1" thickBot="1" x14ac:dyDescent="0.4">
      <c r="A16" s="4">
        <v>9</v>
      </c>
      <c r="B16" s="26" t="s">
        <v>80</v>
      </c>
      <c r="C16" s="26" t="s">
        <v>81</v>
      </c>
      <c r="D16" s="26" t="s">
        <v>10</v>
      </c>
      <c r="E16" s="5" t="s">
        <v>22</v>
      </c>
      <c r="F16" s="6">
        <v>27</v>
      </c>
      <c r="G16" s="6">
        <v>30</v>
      </c>
      <c r="H16" s="27">
        <f t="shared" si="0"/>
        <v>57</v>
      </c>
      <c r="I16" s="28" t="str">
        <f t="shared" si="1"/>
        <v>C</v>
      </c>
    </row>
    <row r="17" spans="1:16" ht="18" customHeight="1" thickBot="1" x14ac:dyDescent="0.4">
      <c r="A17" s="4">
        <v>10</v>
      </c>
      <c r="B17" s="26" t="s">
        <v>82</v>
      </c>
      <c r="C17" s="26" t="s">
        <v>83</v>
      </c>
      <c r="D17" s="26" t="s">
        <v>11</v>
      </c>
      <c r="E17" s="5" t="s">
        <v>23</v>
      </c>
      <c r="F17" s="6">
        <v>28</v>
      </c>
      <c r="G17" s="6">
        <v>22</v>
      </c>
      <c r="H17" s="27">
        <f t="shared" si="0"/>
        <v>50</v>
      </c>
      <c r="I17" s="28" t="str">
        <f t="shared" si="1"/>
        <v>CD</v>
      </c>
    </row>
    <row r="18" spans="1:16" ht="18" customHeight="1" thickBot="1" x14ac:dyDescent="0.4">
      <c r="A18" s="4">
        <v>11</v>
      </c>
      <c r="B18" s="26" t="s">
        <v>84</v>
      </c>
      <c r="C18" s="26" t="s">
        <v>85</v>
      </c>
      <c r="D18" s="26" t="s">
        <v>10</v>
      </c>
      <c r="E18" s="5" t="s">
        <v>24</v>
      </c>
      <c r="F18" s="6">
        <v>28</v>
      </c>
      <c r="G18" s="6">
        <v>24</v>
      </c>
      <c r="H18" s="27">
        <f t="shared" si="0"/>
        <v>52</v>
      </c>
      <c r="I18" s="28" t="str">
        <f t="shared" si="1"/>
        <v>CD</v>
      </c>
      <c r="N18" s="12" t="s">
        <v>8</v>
      </c>
      <c r="O18" s="31" t="s">
        <v>173</v>
      </c>
      <c r="P18" s="42" t="s">
        <v>177</v>
      </c>
    </row>
    <row r="19" spans="1:16" ht="18" customHeight="1" thickBot="1" x14ac:dyDescent="0.4">
      <c r="A19" s="4">
        <v>12</v>
      </c>
      <c r="B19" s="26" t="s">
        <v>86</v>
      </c>
      <c r="C19" s="26" t="s">
        <v>87</v>
      </c>
      <c r="D19" s="26" t="s">
        <v>10</v>
      </c>
      <c r="E19" s="5" t="s">
        <v>25</v>
      </c>
      <c r="F19" s="6">
        <v>25</v>
      </c>
      <c r="G19" s="6">
        <v>20</v>
      </c>
      <c r="H19" s="27">
        <f t="shared" si="0"/>
        <v>45</v>
      </c>
      <c r="I19" s="28" t="str">
        <f t="shared" si="1"/>
        <v>D</v>
      </c>
      <c r="N19" s="12" t="s">
        <v>164</v>
      </c>
      <c r="O19" s="12">
        <f>COUNTIF(I8:I57, "A")</f>
        <v>4</v>
      </c>
      <c r="P19" s="43" t="s">
        <v>178</v>
      </c>
    </row>
    <row r="20" spans="1:16" ht="18" customHeight="1" thickBot="1" x14ac:dyDescent="0.4">
      <c r="A20" s="4">
        <v>13</v>
      </c>
      <c r="B20" s="26" t="s">
        <v>88</v>
      </c>
      <c r="C20" s="26" t="s">
        <v>89</v>
      </c>
      <c r="D20" s="26" t="s">
        <v>11</v>
      </c>
      <c r="E20" s="5" t="s">
        <v>26</v>
      </c>
      <c r="F20" s="6">
        <v>28</v>
      </c>
      <c r="G20" s="6">
        <v>8</v>
      </c>
      <c r="H20" s="27">
        <f t="shared" si="0"/>
        <v>36</v>
      </c>
      <c r="I20" s="28" t="str">
        <f t="shared" si="1"/>
        <v>F3</v>
      </c>
      <c r="N20" s="12" t="s">
        <v>165</v>
      </c>
      <c r="O20" s="12">
        <f>COUNTIF(I9:I57, "AB")</f>
        <v>1</v>
      </c>
      <c r="P20" s="43" t="s">
        <v>179</v>
      </c>
    </row>
    <row r="21" spans="1:16" ht="18" customHeight="1" thickBot="1" x14ac:dyDescent="0.4">
      <c r="A21" s="4">
        <v>14</v>
      </c>
      <c r="B21" s="26" t="s">
        <v>90</v>
      </c>
      <c r="C21" s="26" t="s">
        <v>91</v>
      </c>
      <c r="D21" s="26" t="s">
        <v>10</v>
      </c>
      <c r="E21" s="5" t="s">
        <v>27</v>
      </c>
      <c r="F21" s="6">
        <v>25</v>
      </c>
      <c r="G21" s="6">
        <v>30</v>
      </c>
      <c r="H21" s="27">
        <f t="shared" si="0"/>
        <v>55</v>
      </c>
      <c r="I21" s="28" t="str">
        <f t="shared" si="1"/>
        <v>C</v>
      </c>
      <c r="N21" s="12" t="s">
        <v>166</v>
      </c>
      <c r="O21" s="12">
        <f>COUNTIF(I10:I57, "B")</f>
        <v>4</v>
      </c>
      <c r="P21" s="43" t="s">
        <v>180</v>
      </c>
    </row>
    <row r="22" spans="1:16" ht="18" customHeight="1" thickBot="1" x14ac:dyDescent="0.4">
      <c r="A22" s="4">
        <v>15</v>
      </c>
      <c r="B22" s="26" t="s">
        <v>92</v>
      </c>
      <c r="C22" s="26" t="s">
        <v>93</v>
      </c>
      <c r="D22" s="26" t="s">
        <v>11</v>
      </c>
      <c r="E22" s="5" t="s">
        <v>28</v>
      </c>
      <c r="F22" s="6">
        <v>25</v>
      </c>
      <c r="G22" s="6">
        <v>10</v>
      </c>
      <c r="H22" s="27">
        <f t="shared" si="0"/>
        <v>35</v>
      </c>
      <c r="I22" s="28" t="str">
        <f t="shared" si="1"/>
        <v>F3</v>
      </c>
      <c r="N22" s="12" t="s">
        <v>167</v>
      </c>
      <c r="O22" s="12">
        <f>COUNTIF(I11:I57, "BC")</f>
        <v>5</v>
      </c>
      <c r="P22" s="43" t="s">
        <v>181</v>
      </c>
    </row>
    <row r="23" spans="1:16" ht="18" customHeight="1" thickBot="1" x14ac:dyDescent="0.4">
      <c r="A23" s="4">
        <v>16</v>
      </c>
      <c r="B23" s="26" t="s">
        <v>94</v>
      </c>
      <c r="C23" s="26" t="s">
        <v>95</v>
      </c>
      <c r="D23" s="26" t="s">
        <v>11</v>
      </c>
      <c r="E23" s="5" t="s">
        <v>29</v>
      </c>
      <c r="F23" s="6">
        <v>27</v>
      </c>
      <c r="G23" s="6">
        <v>38</v>
      </c>
      <c r="H23" s="27">
        <f t="shared" si="0"/>
        <v>65</v>
      </c>
      <c r="I23" s="28" t="str">
        <f t="shared" si="1"/>
        <v>B</v>
      </c>
      <c r="N23" s="12" t="s">
        <v>168</v>
      </c>
      <c r="O23" s="12">
        <f>COUNTIF(I5:I57, "C")</f>
        <v>7</v>
      </c>
      <c r="P23" s="43" t="s">
        <v>182</v>
      </c>
    </row>
    <row r="24" spans="1:16" ht="18" customHeight="1" thickBot="1" x14ac:dyDescent="0.4">
      <c r="A24" s="4">
        <v>17</v>
      </c>
      <c r="B24" s="26" t="s">
        <v>96</v>
      </c>
      <c r="C24" s="26" t="s">
        <v>97</v>
      </c>
      <c r="D24" s="26" t="s">
        <v>11</v>
      </c>
      <c r="E24" s="5" t="s">
        <v>30</v>
      </c>
      <c r="F24" s="6">
        <v>27</v>
      </c>
      <c r="G24" s="6">
        <v>37</v>
      </c>
      <c r="H24" s="27">
        <f t="shared" si="0"/>
        <v>64</v>
      </c>
      <c r="I24" s="28" t="str">
        <f t="shared" si="1"/>
        <v>BC</v>
      </c>
      <c r="N24" s="12" t="s">
        <v>169</v>
      </c>
      <c r="O24" s="12">
        <f>COUNTIF(I11:I57, "CD")</f>
        <v>12</v>
      </c>
      <c r="P24" s="43" t="s">
        <v>183</v>
      </c>
    </row>
    <row r="25" spans="1:16" ht="18" customHeight="1" thickBot="1" x14ac:dyDescent="0.4">
      <c r="A25" s="4">
        <v>18</v>
      </c>
      <c r="B25" s="26" t="s">
        <v>98</v>
      </c>
      <c r="C25" s="26" t="s">
        <v>99</v>
      </c>
      <c r="D25" s="26" t="s">
        <v>10</v>
      </c>
      <c r="E25" s="5" t="s">
        <v>31</v>
      </c>
      <c r="F25" s="6">
        <v>27</v>
      </c>
      <c r="G25" s="6">
        <v>38</v>
      </c>
      <c r="H25" s="27">
        <f t="shared" si="0"/>
        <v>65</v>
      </c>
      <c r="I25" s="28" t="str">
        <f t="shared" si="1"/>
        <v>B</v>
      </c>
      <c r="N25" s="12" t="s">
        <v>170</v>
      </c>
      <c r="O25" s="12">
        <f>COUNTIF(I12:I57, "D")</f>
        <v>1</v>
      </c>
      <c r="P25" s="43" t="s">
        <v>184</v>
      </c>
    </row>
    <row r="26" spans="1:16" ht="18" customHeight="1" thickBot="1" x14ac:dyDescent="0.4">
      <c r="A26" s="4">
        <v>19</v>
      </c>
      <c r="B26" s="26" t="s">
        <v>100</v>
      </c>
      <c r="C26" s="26" t="s">
        <v>101</v>
      </c>
      <c r="D26" s="26" t="s">
        <v>11</v>
      </c>
      <c r="E26" s="5" t="s">
        <v>32</v>
      </c>
      <c r="F26" s="6">
        <v>25</v>
      </c>
      <c r="G26" s="6">
        <v>5</v>
      </c>
      <c r="H26" s="27">
        <f t="shared" si="0"/>
        <v>30</v>
      </c>
      <c r="I26" s="28" t="str">
        <f t="shared" si="1"/>
        <v>F3</v>
      </c>
      <c r="N26" s="12" t="s">
        <v>171</v>
      </c>
      <c r="O26" s="12">
        <f>COUNTIF(I13:I57, "P")</f>
        <v>7</v>
      </c>
      <c r="P26" s="43" t="s">
        <v>185</v>
      </c>
    </row>
    <row r="27" spans="1:16" ht="18" customHeight="1" thickBot="1" x14ac:dyDescent="0.4">
      <c r="A27" s="4">
        <v>20</v>
      </c>
      <c r="B27" s="26" t="s">
        <v>102</v>
      </c>
      <c r="C27" s="26" t="s">
        <v>103</v>
      </c>
      <c r="D27" s="26" t="s">
        <v>11</v>
      </c>
      <c r="E27" s="5" t="s">
        <v>33</v>
      </c>
      <c r="F27" s="6">
        <v>28</v>
      </c>
      <c r="G27" s="6">
        <v>48</v>
      </c>
      <c r="H27" s="27">
        <f t="shared" si="0"/>
        <v>76</v>
      </c>
      <c r="I27" s="28" t="str">
        <f t="shared" si="1"/>
        <v>A</v>
      </c>
      <c r="N27" s="12" t="s">
        <v>172</v>
      </c>
      <c r="O27" s="12">
        <f>COUNTIF(I15:I57, "F3")</f>
        <v>4</v>
      </c>
      <c r="P27" s="43" t="s">
        <v>186</v>
      </c>
    </row>
    <row r="28" spans="1:16" ht="18" customHeight="1" thickBot="1" x14ac:dyDescent="0.4">
      <c r="A28" s="4">
        <v>21</v>
      </c>
      <c r="B28" s="26" t="s">
        <v>104</v>
      </c>
      <c r="C28" s="26" t="s">
        <v>105</v>
      </c>
      <c r="D28" s="26" t="s">
        <v>10</v>
      </c>
      <c r="E28" s="5" t="s">
        <v>34</v>
      </c>
      <c r="F28" s="6">
        <v>25</v>
      </c>
      <c r="G28" s="6">
        <v>37</v>
      </c>
      <c r="H28" s="27">
        <f t="shared" si="0"/>
        <v>62</v>
      </c>
      <c r="I28" s="28" t="str">
        <f t="shared" si="1"/>
        <v>BC</v>
      </c>
    </row>
    <row r="29" spans="1:16" ht="18" customHeight="1" thickBot="1" x14ac:dyDescent="0.4">
      <c r="A29" s="4">
        <v>22</v>
      </c>
      <c r="B29" s="26" t="s">
        <v>106</v>
      </c>
      <c r="C29" s="26" t="s">
        <v>107</v>
      </c>
      <c r="D29" s="26" t="s">
        <v>11</v>
      </c>
      <c r="E29" s="5" t="s">
        <v>35</v>
      </c>
      <c r="F29" s="6">
        <v>28</v>
      </c>
      <c r="G29" s="6">
        <v>22</v>
      </c>
      <c r="H29" s="27">
        <f t="shared" si="0"/>
        <v>50</v>
      </c>
      <c r="I29" s="28" t="str">
        <f t="shared" si="1"/>
        <v>CD</v>
      </c>
    </row>
    <row r="30" spans="1:16" ht="18" customHeight="1" thickBot="1" x14ac:dyDescent="0.4">
      <c r="A30" s="4">
        <v>23</v>
      </c>
      <c r="B30" s="26" t="s">
        <v>108</v>
      </c>
      <c r="C30" s="26" t="s">
        <v>109</v>
      </c>
      <c r="D30" s="26" t="s">
        <v>11</v>
      </c>
      <c r="E30" s="5" t="s">
        <v>36</v>
      </c>
      <c r="F30" s="6">
        <v>28</v>
      </c>
      <c r="G30" s="6">
        <v>48</v>
      </c>
      <c r="H30" s="27">
        <f t="shared" si="0"/>
        <v>76</v>
      </c>
      <c r="I30" s="28" t="str">
        <f t="shared" si="1"/>
        <v>A</v>
      </c>
    </row>
    <row r="31" spans="1:16" ht="18" customHeight="1" thickBot="1" x14ac:dyDescent="0.4">
      <c r="A31" s="4">
        <v>24</v>
      </c>
      <c r="B31" s="26" t="s">
        <v>110</v>
      </c>
      <c r="C31" s="26" t="s">
        <v>111</v>
      </c>
      <c r="D31" s="26" t="s">
        <v>10</v>
      </c>
      <c r="E31" s="5" t="s">
        <v>37</v>
      </c>
      <c r="F31" s="6">
        <v>27</v>
      </c>
      <c r="G31" s="6">
        <v>48</v>
      </c>
      <c r="H31" s="27">
        <f t="shared" si="0"/>
        <v>75</v>
      </c>
      <c r="I31" s="28" t="str">
        <f t="shared" si="1"/>
        <v>A</v>
      </c>
    </row>
    <row r="32" spans="1:16" ht="18" customHeight="1" thickBot="1" x14ac:dyDescent="0.4">
      <c r="A32" s="4">
        <v>25</v>
      </c>
      <c r="B32" s="26" t="s">
        <v>112</v>
      </c>
      <c r="C32" s="26" t="s">
        <v>113</v>
      </c>
      <c r="D32" s="30" t="s">
        <v>11</v>
      </c>
      <c r="E32" s="5" t="s">
        <v>38</v>
      </c>
      <c r="F32" s="6">
        <v>28</v>
      </c>
      <c r="G32" s="6">
        <v>22</v>
      </c>
      <c r="H32" s="27">
        <f t="shared" si="0"/>
        <v>50</v>
      </c>
      <c r="I32" s="28" t="str">
        <f t="shared" si="1"/>
        <v>CD</v>
      </c>
    </row>
    <row r="33" spans="1:9" ht="18" customHeight="1" thickBot="1" x14ac:dyDescent="0.4">
      <c r="A33" s="4">
        <v>26</v>
      </c>
      <c r="B33" s="26" t="s">
        <v>117</v>
      </c>
      <c r="C33" s="26" t="s">
        <v>118</v>
      </c>
      <c r="D33" s="26" t="s">
        <v>11</v>
      </c>
      <c r="E33" s="5" t="s">
        <v>39</v>
      </c>
      <c r="F33" s="6">
        <v>27</v>
      </c>
      <c r="G33" s="6">
        <v>29</v>
      </c>
      <c r="H33" s="27">
        <f>(F33+G33)</f>
        <v>56</v>
      </c>
      <c r="I33" s="29" t="str">
        <f>IF(H33&gt;=75,"A",
IF(H33&gt;=70,"AB",
IF(H33&gt;=65,"B",
IF(H33&gt;=60,"BC",
IF(H33&gt;=55,"C",
IF(H33&gt;=50,"CD",
IF(H33&gt;=45,"D",
IF(H33&gt;=40,"P","F"))))))))</f>
        <v>C</v>
      </c>
    </row>
    <row r="34" spans="1:9" ht="18" customHeight="1" thickBot="1" x14ac:dyDescent="0.4">
      <c r="A34" s="4">
        <v>27</v>
      </c>
      <c r="B34" s="26" t="s">
        <v>119</v>
      </c>
      <c r="C34" s="26" t="s">
        <v>120</v>
      </c>
      <c r="D34" s="26" t="s">
        <v>10</v>
      </c>
      <c r="E34" s="5" t="s">
        <v>40</v>
      </c>
      <c r="F34" s="6">
        <v>28</v>
      </c>
      <c r="G34" s="6">
        <v>13</v>
      </c>
      <c r="H34" s="27">
        <f t="shared" ref="H34:H57" si="2">(F34+G34)</f>
        <v>41</v>
      </c>
      <c r="I34" s="29" t="str">
        <f t="shared" ref="I34:I57" si="3">IF(H34&gt;=75,"A",
IF(H34&gt;=70,"AB",
IF(H34&gt;=65,"B",
IF(H34&gt;=60,"BC",
IF(H34&gt;=55,"C",
IF(H34&gt;=50,"CD",
IF(H34&gt;=45,"D",
IF(H34&gt;=40,"P","F"))))))))</f>
        <v>P</v>
      </c>
    </row>
    <row r="35" spans="1:9" ht="18" customHeight="1" thickBot="1" x14ac:dyDescent="0.4">
      <c r="A35" s="4">
        <v>28</v>
      </c>
      <c r="B35" s="26" t="s">
        <v>121</v>
      </c>
      <c r="C35" s="26" t="s">
        <v>122</v>
      </c>
      <c r="D35" s="26" t="s">
        <v>11</v>
      </c>
      <c r="E35" s="5" t="s">
        <v>41</v>
      </c>
      <c r="F35" s="6">
        <v>28</v>
      </c>
      <c r="G35" s="6">
        <v>15</v>
      </c>
      <c r="H35" s="27">
        <f t="shared" si="2"/>
        <v>43</v>
      </c>
      <c r="I35" s="29" t="str">
        <f t="shared" si="3"/>
        <v>P</v>
      </c>
    </row>
    <row r="36" spans="1:9" ht="18" customHeight="1" thickBot="1" x14ac:dyDescent="0.4">
      <c r="A36" s="4">
        <v>29</v>
      </c>
      <c r="B36" s="26" t="s">
        <v>123</v>
      </c>
      <c r="C36" s="26" t="s">
        <v>124</v>
      </c>
      <c r="D36" s="26" t="s">
        <v>11</v>
      </c>
      <c r="E36" s="5" t="s">
        <v>42</v>
      </c>
      <c r="F36" s="6"/>
      <c r="G36" s="6"/>
      <c r="H36" s="27"/>
      <c r="I36" s="29"/>
    </row>
    <row r="37" spans="1:9" ht="18" customHeight="1" thickBot="1" x14ac:dyDescent="0.4">
      <c r="A37" s="4">
        <v>30</v>
      </c>
      <c r="B37" s="26" t="s">
        <v>125</v>
      </c>
      <c r="C37" s="26" t="s">
        <v>126</v>
      </c>
      <c r="D37" s="26" t="s">
        <v>11</v>
      </c>
      <c r="E37" s="5" t="s">
        <v>43</v>
      </c>
      <c r="F37" s="6">
        <v>28</v>
      </c>
      <c r="G37" s="6">
        <v>32</v>
      </c>
      <c r="H37" s="27">
        <f t="shared" si="2"/>
        <v>60</v>
      </c>
      <c r="I37" s="29" t="str">
        <f t="shared" si="3"/>
        <v>BC</v>
      </c>
    </row>
    <row r="38" spans="1:9" ht="18" customHeight="1" thickBot="1" x14ac:dyDescent="0.4">
      <c r="A38" s="4">
        <v>31</v>
      </c>
      <c r="B38" s="26" t="s">
        <v>127</v>
      </c>
      <c r="C38" s="26" t="s">
        <v>128</v>
      </c>
      <c r="D38" s="26" t="s">
        <v>10</v>
      </c>
      <c r="E38" s="5" t="s">
        <v>44</v>
      </c>
      <c r="F38" s="6">
        <v>27</v>
      </c>
      <c r="G38" s="6">
        <v>25</v>
      </c>
      <c r="H38" s="27">
        <f t="shared" si="2"/>
        <v>52</v>
      </c>
      <c r="I38" s="29" t="str">
        <f t="shared" si="3"/>
        <v>CD</v>
      </c>
    </row>
    <row r="39" spans="1:9" ht="18" customHeight="1" thickBot="1" x14ac:dyDescent="0.4">
      <c r="A39" s="4">
        <v>32</v>
      </c>
      <c r="B39" s="26" t="s">
        <v>95</v>
      </c>
      <c r="C39" s="26" t="s">
        <v>129</v>
      </c>
      <c r="D39" s="26" t="s">
        <v>10</v>
      </c>
      <c r="E39" s="5" t="s">
        <v>45</v>
      </c>
      <c r="F39" s="6">
        <v>27</v>
      </c>
      <c r="G39" s="6">
        <v>26</v>
      </c>
      <c r="H39" s="27">
        <f t="shared" si="2"/>
        <v>53</v>
      </c>
      <c r="I39" s="29" t="str">
        <f t="shared" si="3"/>
        <v>CD</v>
      </c>
    </row>
    <row r="40" spans="1:9" ht="18" customHeight="1" thickBot="1" x14ac:dyDescent="0.4">
      <c r="A40" s="4">
        <v>33</v>
      </c>
      <c r="B40" s="26" t="s">
        <v>130</v>
      </c>
      <c r="C40" s="26" t="s">
        <v>131</v>
      </c>
      <c r="D40" s="26" t="s">
        <v>11</v>
      </c>
      <c r="E40" s="5" t="s">
        <v>46</v>
      </c>
      <c r="F40" s="6">
        <v>26</v>
      </c>
      <c r="G40" s="6">
        <v>24</v>
      </c>
      <c r="H40" s="27">
        <f t="shared" si="2"/>
        <v>50</v>
      </c>
      <c r="I40" s="29" t="str">
        <f t="shared" si="3"/>
        <v>CD</v>
      </c>
    </row>
    <row r="41" spans="1:9" ht="18" customHeight="1" thickBot="1" x14ac:dyDescent="0.4">
      <c r="A41" s="4">
        <v>34</v>
      </c>
      <c r="B41" s="26" t="s">
        <v>132</v>
      </c>
      <c r="C41" s="26" t="s">
        <v>133</v>
      </c>
      <c r="D41" s="26" t="s">
        <v>11</v>
      </c>
      <c r="E41" s="5" t="s">
        <v>47</v>
      </c>
      <c r="F41" s="6">
        <v>25</v>
      </c>
      <c r="G41" s="6">
        <v>25</v>
      </c>
      <c r="H41" s="27">
        <f t="shared" si="2"/>
        <v>50</v>
      </c>
      <c r="I41" s="29" t="str">
        <f t="shared" si="3"/>
        <v>CD</v>
      </c>
    </row>
    <row r="42" spans="1:9" ht="18" customHeight="1" thickBot="1" x14ac:dyDescent="0.4">
      <c r="A42" s="4">
        <v>35</v>
      </c>
      <c r="B42" s="26" t="s">
        <v>134</v>
      </c>
      <c r="C42" s="26" t="s">
        <v>106</v>
      </c>
      <c r="D42" s="26" t="s">
        <v>11</v>
      </c>
      <c r="E42" s="5" t="s">
        <v>48</v>
      </c>
      <c r="F42" s="6">
        <v>28</v>
      </c>
      <c r="G42" s="6">
        <v>13</v>
      </c>
      <c r="H42" s="27">
        <f t="shared" si="2"/>
        <v>41</v>
      </c>
      <c r="I42" s="29" t="str">
        <f t="shared" si="3"/>
        <v>P</v>
      </c>
    </row>
    <row r="43" spans="1:9" ht="18" customHeight="1" thickBot="1" x14ac:dyDescent="0.4">
      <c r="A43" s="4">
        <v>36</v>
      </c>
      <c r="B43" s="26" t="s">
        <v>93</v>
      </c>
      <c r="C43" s="26" t="s">
        <v>135</v>
      </c>
      <c r="D43" s="26" t="s">
        <v>11</v>
      </c>
      <c r="E43" s="5" t="s">
        <v>49</v>
      </c>
      <c r="F43" s="6">
        <v>28</v>
      </c>
      <c r="G43" s="6">
        <v>22</v>
      </c>
      <c r="H43" s="27">
        <f t="shared" si="2"/>
        <v>50</v>
      </c>
      <c r="I43" s="29" t="str">
        <f t="shared" si="3"/>
        <v>CD</v>
      </c>
    </row>
    <row r="44" spans="1:9" ht="18" customHeight="1" thickBot="1" x14ac:dyDescent="0.4">
      <c r="A44" s="4">
        <v>37</v>
      </c>
      <c r="B44" s="26" t="s">
        <v>136</v>
      </c>
      <c r="C44" s="26" t="s">
        <v>137</v>
      </c>
      <c r="D44" s="26" t="s">
        <v>10</v>
      </c>
      <c r="E44" s="5" t="s">
        <v>50</v>
      </c>
      <c r="F44" s="6">
        <v>25</v>
      </c>
      <c r="G44" s="6">
        <v>30</v>
      </c>
      <c r="H44" s="27">
        <f t="shared" si="2"/>
        <v>55</v>
      </c>
      <c r="I44" s="29" t="str">
        <f t="shared" si="3"/>
        <v>C</v>
      </c>
    </row>
    <row r="45" spans="1:9" ht="18" customHeight="1" thickBot="1" x14ac:dyDescent="0.4">
      <c r="A45" s="4">
        <v>38</v>
      </c>
      <c r="B45" s="26" t="s">
        <v>138</v>
      </c>
      <c r="C45" s="26" t="s">
        <v>139</v>
      </c>
      <c r="D45" s="26" t="s">
        <v>10</v>
      </c>
      <c r="E45" s="5" t="s">
        <v>51</v>
      </c>
      <c r="F45" s="6">
        <v>28</v>
      </c>
      <c r="G45" s="6">
        <v>48</v>
      </c>
      <c r="H45" s="27">
        <f t="shared" si="2"/>
        <v>76</v>
      </c>
      <c r="I45" s="29" t="str">
        <f t="shared" si="3"/>
        <v>A</v>
      </c>
    </row>
    <row r="46" spans="1:9" ht="18" customHeight="1" thickBot="1" x14ac:dyDescent="0.4">
      <c r="A46" s="4">
        <v>39</v>
      </c>
      <c r="B46" s="26" t="s">
        <v>140</v>
      </c>
      <c r="C46" s="26" t="s">
        <v>141</v>
      </c>
      <c r="D46" s="26" t="s">
        <v>10</v>
      </c>
      <c r="E46" s="5" t="s">
        <v>52</v>
      </c>
      <c r="F46" s="6">
        <v>28</v>
      </c>
      <c r="G46" s="6">
        <v>37</v>
      </c>
      <c r="H46" s="27">
        <f t="shared" si="2"/>
        <v>65</v>
      </c>
      <c r="I46" s="29" t="str">
        <f t="shared" si="3"/>
        <v>B</v>
      </c>
    </row>
    <row r="47" spans="1:9" ht="18" customHeight="1" thickBot="1" x14ac:dyDescent="0.4">
      <c r="A47" s="4">
        <v>40</v>
      </c>
      <c r="B47" s="26" t="s">
        <v>142</v>
      </c>
      <c r="C47" s="26" t="s">
        <v>143</v>
      </c>
      <c r="D47" s="26" t="s">
        <v>11</v>
      </c>
      <c r="E47" s="5" t="s">
        <v>53</v>
      </c>
      <c r="F47" s="6">
        <v>27</v>
      </c>
      <c r="G47" s="6">
        <v>30</v>
      </c>
      <c r="H47" s="27">
        <f t="shared" si="2"/>
        <v>57</v>
      </c>
      <c r="I47" s="29" t="str">
        <f t="shared" si="3"/>
        <v>C</v>
      </c>
    </row>
    <row r="48" spans="1:9" ht="18" customHeight="1" thickBot="1" x14ac:dyDescent="0.4">
      <c r="A48" s="4">
        <v>41</v>
      </c>
      <c r="B48" s="26" t="s">
        <v>144</v>
      </c>
      <c r="C48" s="26" t="s">
        <v>145</v>
      </c>
      <c r="D48" s="26" t="s">
        <v>10</v>
      </c>
      <c r="E48" s="5" t="s">
        <v>54</v>
      </c>
      <c r="F48" s="6">
        <v>26</v>
      </c>
      <c r="G48" s="6">
        <v>44</v>
      </c>
      <c r="H48" s="27">
        <f t="shared" si="2"/>
        <v>70</v>
      </c>
      <c r="I48" s="29" t="str">
        <f t="shared" si="3"/>
        <v>AB</v>
      </c>
    </row>
    <row r="49" spans="1:9" ht="18" customHeight="1" thickBot="1" x14ac:dyDescent="0.4">
      <c r="A49" s="4">
        <v>42</v>
      </c>
      <c r="B49" s="26" t="s">
        <v>146</v>
      </c>
      <c r="C49" s="26" t="s">
        <v>147</v>
      </c>
      <c r="D49" s="26" t="s">
        <v>10</v>
      </c>
      <c r="E49" s="5" t="s">
        <v>55</v>
      </c>
      <c r="F49" s="6">
        <v>25</v>
      </c>
      <c r="G49" s="6">
        <v>25</v>
      </c>
      <c r="H49" s="27">
        <f t="shared" si="2"/>
        <v>50</v>
      </c>
      <c r="I49" s="29" t="str">
        <f t="shared" si="3"/>
        <v>CD</v>
      </c>
    </row>
    <row r="50" spans="1:9" ht="18" customHeight="1" thickBot="1" x14ac:dyDescent="0.4">
      <c r="A50" s="4">
        <v>43</v>
      </c>
      <c r="B50" s="26" t="s">
        <v>148</v>
      </c>
      <c r="C50" s="26" t="s">
        <v>149</v>
      </c>
      <c r="D50" s="26" t="s">
        <v>11</v>
      </c>
      <c r="E50" s="5" t="s">
        <v>56</v>
      </c>
      <c r="F50" s="6">
        <v>27</v>
      </c>
      <c r="G50" s="6">
        <v>38</v>
      </c>
      <c r="H50" s="27">
        <f t="shared" si="2"/>
        <v>65</v>
      </c>
      <c r="I50" s="29" t="str">
        <f t="shared" si="3"/>
        <v>B</v>
      </c>
    </row>
    <row r="51" spans="1:9" ht="18" customHeight="1" thickBot="1" x14ac:dyDescent="0.4">
      <c r="A51" s="4">
        <v>44</v>
      </c>
      <c r="B51" s="26" t="s">
        <v>150</v>
      </c>
      <c r="C51" s="26" t="s">
        <v>151</v>
      </c>
      <c r="D51" s="26" t="s">
        <v>11</v>
      </c>
      <c r="E51" s="5" t="s">
        <v>57</v>
      </c>
      <c r="F51" s="6">
        <v>28</v>
      </c>
      <c r="G51" s="6">
        <v>12</v>
      </c>
      <c r="H51" s="27">
        <f t="shared" si="2"/>
        <v>40</v>
      </c>
      <c r="I51" s="29" t="str">
        <f t="shared" si="3"/>
        <v>P</v>
      </c>
    </row>
    <row r="52" spans="1:9" ht="18" customHeight="1" thickBot="1" x14ac:dyDescent="0.4">
      <c r="A52" s="4">
        <v>45</v>
      </c>
      <c r="B52" s="26" t="s">
        <v>152</v>
      </c>
      <c r="C52" s="26" t="s">
        <v>153</v>
      </c>
      <c r="D52" s="26" t="s">
        <v>11</v>
      </c>
      <c r="E52" s="5" t="s">
        <v>58</v>
      </c>
      <c r="F52" s="6">
        <v>25</v>
      </c>
      <c r="G52" s="6">
        <v>10</v>
      </c>
      <c r="H52" s="27">
        <f t="shared" si="2"/>
        <v>35</v>
      </c>
      <c r="I52" s="29" t="str">
        <f>IF(H52&gt;=75,"A",
IF(H52&gt;=70,"AB",
IF(H52&gt;=65,"B",
IF(H52&gt;=60,"BC",
IF(H52&gt;=55,"C",
IF(H52&gt;=50,"CD",
IF(H52&gt;=45,"D",
IF(H52&gt;=40,"P","F3"))))))))</f>
        <v>F3</v>
      </c>
    </row>
    <row r="53" spans="1:9" ht="18" customHeight="1" thickBot="1" x14ac:dyDescent="0.4">
      <c r="A53" s="4">
        <v>46</v>
      </c>
      <c r="B53" s="26" t="s">
        <v>154</v>
      </c>
      <c r="C53" s="26" t="s">
        <v>155</v>
      </c>
      <c r="D53" s="26" t="s">
        <v>10</v>
      </c>
      <c r="E53" s="5" t="s">
        <v>59</v>
      </c>
      <c r="F53" s="6">
        <v>28</v>
      </c>
      <c r="G53" s="6">
        <v>26</v>
      </c>
      <c r="H53" s="27">
        <f t="shared" si="2"/>
        <v>54</v>
      </c>
      <c r="I53" s="29" t="str">
        <f t="shared" si="3"/>
        <v>CD</v>
      </c>
    </row>
    <row r="54" spans="1:9" ht="18" customHeight="1" thickBot="1" x14ac:dyDescent="0.4">
      <c r="A54" s="4">
        <v>47</v>
      </c>
      <c r="B54" s="26" t="s">
        <v>156</v>
      </c>
      <c r="C54" s="26" t="s">
        <v>108</v>
      </c>
      <c r="D54" s="26" t="s">
        <v>11</v>
      </c>
      <c r="E54" s="5" t="s">
        <v>60</v>
      </c>
      <c r="F54" s="6">
        <v>25</v>
      </c>
      <c r="G54" s="6">
        <v>31</v>
      </c>
      <c r="H54" s="27">
        <f t="shared" si="2"/>
        <v>56</v>
      </c>
      <c r="I54" s="29" t="str">
        <f t="shared" si="3"/>
        <v>C</v>
      </c>
    </row>
    <row r="55" spans="1:9" ht="18" customHeight="1" thickBot="1" x14ac:dyDescent="0.4">
      <c r="A55" s="4">
        <v>48</v>
      </c>
      <c r="B55" s="26" t="s">
        <v>157</v>
      </c>
      <c r="C55" s="26" t="s">
        <v>158</v>
      </c>
      <c r="D55" s="26" t="s">
        <v>11</v>
      </c>
      <c r="E55" s="5" t="s">
        <v>61</v>
      </c>
      <c r="F55" s="6">
        <v>28</v>
      </c>
      <c r="G55" s="6">
        <v>16</v>
      </c>
      <c r="H55" s="27">
        <f t="shared" si="2"/>
        <v>44</v>
      </c>
      <c r="I55" s="29" t="str">
        <f t="shared" si="3"/>
        <v>P</v>
      </c>
    </row>
    <row r="56" spans="1:9" ht="18" customHeight="1" thickBot="1" x14ac:dyDescent="0.4">
      <c r="A56" s="4">
        <v>49</v>
      </c>
      <c r="B56" s="26" t="s">
        <v>159</v>
      </c>
      <c r="C56" s="26" t="s">
        <v>136</v>
      </c>
      <c r="D56" s="26" t="s">
        <v>11</v>
      </c>
      <c r="E56" s="5" t="s">
        <v>62</v>
      </c>
      <c r="F56" s="6">
        <v>28</v>
      </c>
      <c r="G56" s="6">
        <v>28</v>
      </c>
      <c r="H56" s="27">
        <f t="shared" si="2"/>
        <v>56</v>
      </c>
      <c r="I56" s="29" t="str">
        <f t="shared" si="3"/>
        <v>C</v>
      </c>
    </row>
    <row r="57" spans="1:9" ht="18" customHeight="1" thickBot="1" x14ac:dyDescent="0.4">
      <c r="A57" s="4">
        <v>50</v>
      </c>
      <c r="B57" s="26" t="s">
        <v>160</v>
      </c>
      <c r="C57" s="26" t="s">
        <v>77</v>
      </c>
      <c r="D57" s="26" t="s">
        <v>11</v>
      </c>
      <c r="E57" s="5" t="s">
        <v>63</v>
      </c>
      <c r="F57" s="6">
        <v>28</v>
      </c>
      <c r="G57" s="6">
        <v>12</v>
      </c>
      <c r="H57" s="27">
        <f t="shared" si="2"/>
        <v>40</v>
      </c>
      <c r="I57" s="29" t="str">
        <f t="shared" si="3"/>
        <v>P</v>
      </c>
    </row>
    <row r="58" spans="1:9" ht="18" customHeight="1" x14ac:dyDescent="0.35">
      <c r="A58" s="7" t="s">
        <v>12</v>
      </c>
      <c r="B58" s="8"/>
      <c r="C58" s="8"/>
      <c r="D58" s="9"/>
      <c r="E58" s="8"/>
      <c r="F58" s="8"/>
      <c r="G58" s="8"/>
      <c r="H58" s="10"/>
    </row>
    <row r="59" spans="1:9" ht="18" customHeight="1" x14ac:dyDescent="0.35">
      <c r="A59" s="7" t="s">
        <v>13</v>
      </c>
      <c r="B59" s="8"/>
      <c r="C59" s="8"/>
      <c r="D59" s="9"/>
      <c r="E59" s="8"/>
      <c r="F59" s="8"/>
      <c r="G59" s="8"/>
      <c r="H59" s="10"/>
    </row>
    <row r="60" spans="1:9" ht="18" customHeight="1" x14ac:dyDescent="0.35">
      <c r="A60" s="1"/>
      <c r="B60" s="1"/>
      <c r="C60" s="1"/>
      <c r="D60" s="2"/>
      <c r="E60" s="1"/>
      <c r="F60" s="1"/>
      <c r="G60" s="1"/>
      <c r="H60" s="11"/>
      <c r="I60" s="1"/>
    </row>
    <row r="61" spans="1:9" ht="18" customHeight="1" x14ac:dyDescent="0.35">
      <c r="A61" s="1"/>
      <c r="B61" s="1"/>
      <c r="C61" s="1"/>
      <c r="D61" s="2"/>
      <c r="E61" s="1"/>
      <c r="F61" s="1"/>
      <c r="G61" s="1"/>
      <c r="H61" s="11"/>
      <c r="I61" s="1"/>
    </row>
    <row r="62" spans="1:9" ht="18" customHeight="1" x14ac:dyDescent="0.35">
      <c r="A62" s="1"/>
      <c r="B62" s="1"/>
      <c r="C62" s="1"/>
      <c r="D62" s="2"/>
      <c r="E62" s="1"/>
      <c r="F62" s="1"/>
      <c r="G62" s="1"/>
      <c r="H62" s="11"/>
      <c r="I62" s="1"/>
    </row>
    <row r="63" spans="1:9" ht="18" customHeight="1" x14ac:dyDescent="0.35">
      <c r="A63" s="1"/>
      <c r="B63" s="1"/>
      <c r="C63" s="1"/>
      <c r="D63" s="2"/>
      <c r="E63" s="1"/>
      <c r="F63" s="1"/>
      <c r="G63" s="1"/>
      <c r="H63" s="11"/>
      <c r="I63" s="1"/>
    </row>
    <row r="64" spans="1:9" ht="18" customHeight="1" x14ac:dyDescent="0.35">
      <c r="A64" s="41"/>
      <c r="B64" s="41"/>
      <c r="C64" s="41"/>
      <c r="D64" s="41"/>
      <c r="E64" s="41"/>
      <c r="F64" s="41"/>
      <c r="G64" s="41"/>
      <c r="H64" s="41"/>
      <c r="I64" s="41"/>
    </row>
    <row r="65" spans="1:9" ht="18" customHeight="1" x14ac:dyDescent="0.35">
      <c r="A65" s="41"/>
      <c r="B65" s="41"/>
      <c r="C65" s="41"/>
      <c r="D65" s="41"/>
      <c r="E65" s="41"/>
      <c r="F65" s="41"/>
      <c r="G65" s="41"/>
      <c r="H65" s="41"/>
      <c r="I65" s="41"/>
    </row>
    <row r="66" spans="1:9" ht="18" customHeight="1" x14ac:dyDescent="0.35">
      <c r="A66" s="40"/>
      <c r="B66" s="40"/>
      <c r="C66" s="40"/>
      <c r="D66" s="40"/>
      <c r="E66" s="40"/>
      <c r="F66" s="40"/>
      <c r="G66" s="40"/>
      <c r="H66" s="40"/>
      <c r="I66" s="40"/>
    </row>
    <row r="67" spans="1:9" ht="18" customHeight="1" x14ac:dyDescent="0.35">
      <c r="A67" s="1"/>
      <c r="B67" s="1"/>
      <c r="C67" s="1"/>
      <c r="D67" s="2"/>
      <c r="E67" s="1"/>
      <c r="F67" s="1"/>
    </row>
  </sheetData>
  <mergeCells count="8">
    <mergeCell ref="A66:I66"/>
    <mergeCell ref="A64:I64"/>
    <mergeCell ref="A65:I65"/>
    <mergeCell ref="B6:D6"/>
    <mergeCell ref="F6:I6"/>
    <mergeCell ref="A1:I1"/>
    <mergeCell ref="A2:I2"/>
    <mergeCell ref="A3:I3"/>
  </mergeCells>
  <conditionalFormatting sqref="I8:I57">
    <cfRule type="containsText" dxfId="2" priority="1" operator="containsText" text="f">
      <formula>NOT(ISERROR(SEARCH("f",I8)))</formula>
    </cfRule>
    <cfRule type="containsText" dxfId="1" priority="2" operator="containsText" text="f">
      <formula>NOT(ISERROR(SEARCH("f",I8)))</formula>
    </cfRule>
  </conditionalFormatting>
  <pageMargins left="0.7" right="0.7" top="0.75" bottom="0.75" header="0.3" footer="0.3"/>
  <ignoredErrors>
    <ignoredError sqref="I52" formula="1"/>
  </ignoredErrors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Eneonyia</dc:creator>
  <cp:lastModifiedBy>chukwuemeka Eneonyia</cp:lastModifiedBy>
  <dcterms:created xsi:type="dcterms:W3CDTF">2026-04-10T22:17:32Z</dcterms:created>
  <dcterms:modified xsi:type="dcterms:W3CDTF">2026-04-13T23:13:09Z</dcterms:modified>
</cp:coreProperties>
</file>